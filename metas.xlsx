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8800" windowHeight="12312" firstSheet="5" activeTab="5"/>
  </bookViews>
  <sheets>
    <sheet name="Estructura de ventas" sheetId="1" r:id="rId1"/>
    <sheet name="OBJETIVOS VENTA" sheetId="2" r:id="rId2"/>
    <sheet name="CARTERA" sheetId="3" r:id="rId3"/>
    <sheet name="Hoja1" sheetId="4" r:id="rId4"/>
    <sheet name="ACEITE_BASE" sheetId="5" r:id="rId5"/>
    <sheet name="NVOS OBJ VENTA AGO 2026" sheetId="6" r:id="rId6"/>
  </sheets>
  <definedNames>
    <definedName name="_xlnm._FilterDatabase" localSheetId="2" hidden="1">CARTERA!$A$1:$B$94</definedName>
    <definedName name="statu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H6" i="6"/>
</calcChain>
</file>

<file path=xl/sharedStrings.xml><?xml version="1.0" encoding="utf-8"?>
<sst xmlns="http://schemas.openxmlformats.org/spreadsheetml/2006/main" count="656" uniqueCount="274">
  <si>
    <t>Distribuidor:</t>
  </si>
  <si>
    <t>CAMIONERA CATOSA MARZO 26</t>
  </si>
  <si>
    <t>Matriz</t>
  </si>
  <si>
    <t>Nombre</t>
  </si>
  <si>
    <t xml:space="preserve">Correo </t>
  </si>
  <si>
    <t>Celular</t>
  </si>
  <si>
    <t>Puesto</t>
  </si>
  <si>
    <t>Torreón</t>
  </si>
  <si>
    <t>Manuel Botello</t>
  </si>
  <si>
    <t>bomare@amher.com.mx</t>
  </si>
  <si>
    <t>871 196 8836*</t>
  </si>
  <si>
    <t>Asesor Refacciones Mostrador</t>
  </si>
  <si>
    <t>Sin Cartera</t>
  </si>
  <si>
    <t>Víctor Flores</t>
  </si>
  <si>
    <t>flvire@amher.com.mx</t>
  </si>
  <si>
    <t>871 387 1407*</t>
  </si>
  <si>
    <t>José Rojas</t>
  </si>
  <si>
    <t>rojore@amher.com.mx</t>
  </si>
  <si>
    <t>871 213 9656</t>
  </si>
  <si>
    <t>Asesor Refacciones Call Center</t>
  </si>
  <si>
    <t>Víctor Castillo</t>
  </si>
  <si>
    <t>victor.garcia@amher.com.mx</t>
  </si>
  <si>
    <t>871 138 4986</t>
  </si>
  <si>
    <t>Asesor Refacciones Calle</t>
  </si>
  <si>
    <t>Antonio Cruz</t>
  </si>
  <si>
    <t>antonio.cruz@amher.com.mx</t>
  </si>
  <si>
    <t>871 781 9025*</t>
  </si>
  <si>
    <t>David Campos</t>
  </si>
  <si>
    <t>david.campos@amher.com.mx</t>
  </si>
  <si>
    <t>871 743 7904*</t>
  </si>
  <si>
    <t>Asesor Refacciones Ventanilla</t>
  </si>
  <si>
    <t>Alfonso Carlos</t>
  </si>
  <si>
    <t>alfonso.carlos@amher.com.mx</t>
  </si>
  <si>
    <t>871 161 8859*</t>
  </si>
  <si>
    <t>Asesor Refacciones Taller</t>
  </si>
  <si>
    <t>VACANTE</t>
  </si>
  <si>
    <t>JEFE DE REFACCIONES</t>
  </si>
  <si>
    <t>Sucursal</t>
  </si>
  <si>
    <t>Concepto</t>
  </si>
  <si>
    <t>Cantidad</t>
  </si>
  <si>
    <t>Auxiliares Refacciones</t>
  </si>
  <si>
    <t>Almacenistas</t>
  </si>
  <si>
    <t>Repartidores</t>
  </si>
  <si>
    <t>Vehiculos Asesores</t>
  </si>
  <si>
    <t>Vehiculos de reparto</t>
  </si>
  <si>
    <t>Equipos de computo Total</t>
  </si>
  <si>
    <t>Celulares Total</t>
  </si>
  <si>
    <t>Gómez Palacio</t>
  </si>
  <si>
    <t>Francisco Galaviz</t>
  </si>
  <si>
    <t>fjgalaviz@amher.com.mx</t>
  </si>
  <si>
    <t>871 225 0489</t>
  </si>
  <si>
    <t>Jefe de Sucursal</t>
  </si>
  <si>
    <t>Iván López</t>
  </si>
  <si>
    <t>ivan.lopezm@amher.com.mx</t>
  </si>
  <si>
    <t>871 382 5468</t>
  </si>
  <si>
    <t>*VACANTE</t>
  </si>
  <si>
    <t>Alfredo Pizaña</t>
  </si>
  <si>
    <t>alfredo.pizana@amher.com.mx</t>
  </si>
  <si>
    <t>871 118 9091</t>
  </si>
  <si>
    <t>Hugo Bernal</t>
  </si>
  <si>
    <t>hugo.bernal@amher.com.mx</t>
  </si>
  <si>
    <t>871 225 0483</t>
  </si>
  <si>
    <t>Alejandro Baltazar</t>
  </si>
  <si>
    <t>alejandro.baltazar@amher.com.mx</t>
  </si>
  <si>
    <t>871 211 7962</t>
  </si>
  <si>
    <t>Brandon Salazar</t>
  </si>
  <si>
    <t>brandon.salazar@amher.com.mx</t>
  </si>
  <si>
    <t>871 404 0435*</t>
  </si>
  <si>
    <t xml:space="preserve">Asesor Refacciones </t>
  </si>
  <si>
    <t>Dereck Vargas</t>
  </si>
  <si>
    <t>dereck.vargas@amher.com.mx</t>
  </si>
  <si>
    <t>871 562 7741*</t>
  </si>
  <si>
    <t>Monclova</t>
  </si>
  <si>
    <t>Mirna Cepeda</t>
  </si>
  <si>
    <t>mcepeda@amher.com.mx</t>
  </si>
  <si>
    <t>866 115 9056</t>
  </si>
  <si>
    <t>Esteban Briones</t>
  </si>
  <si>
    <t>esteban.briones@amher.com.mx</t>
  </si>
  <si>
    <t>866 183 2712</t>
  </si>
  <si>
    <t>Víctor Hugo Flores</t>
  </si>
  <si>
    <t>vhflores@amher.com.mx</t>
  </si>
  <si>
    <t>866 159 0750</t>
  </si>
  <si>
    <t>Rafael Amaya</t>
  </si>
  <si>
    <t>almacen.monclova@amher.com.mx</t>
  </si>
  <si>
    <t>866 239 3353*</t>
  </si>
  <si>
    <t>Piedras Negras</t>
  </si>
  <si>
    <t>Arturo Calderón</t>
  </si>
  <si>
    <t>arturo.calderon@amher.com.mx</t>
  </si>
  <si>
    <t>878 100 8506</t>
  </si>
  <si>
    <t>Jefe Sucursal</t>
  </si>
  <si>
    <t>Erick Frausto</t>
  </si>
  <si>
    <t>erick.frausto@amher.com.mx</t>
  </si>
  <si>
    <t>878 701 1362</t>
  </si>
  <si>
    <t>Antonio Alvarado</t>
  </si>
  <si>
    <t>antonio.alvarado@amher.com.mx</t>
  </si>
  <si>
    <t>878 137 9588</t>
  </si>
  <si>
    <t>Heladio Santos</t>
  </si>
  <si>
    <t>heladio.satos@amher.com.mx</t>
  </si>
  <si>
    <t>871 157 6632</t>
  </si>
  <si>
    <t>SUCURSAL</t>
  </si>
  <si>
    <t>CANAL</t>
  </si>
  <si>
    <t>NOMBRE ASESOR</t>
  </si>
  <si>
    <t>META MENSUAL</t>
  </si>
  <si>
    <t>CALLE</t>
  </si>
  <si>
    <t>MOSTRADOR</t>
  </si>
  <si>
    <t>TR</t>
  </si>
  <si>
    <t>VICTOR EDUARDO CASTILLO GARCIA</t>
  </si>
  <si>
    <t>Meta sucursal</t>
  </si>
  <si>
    <t>INDIVIDUAL</t>
  </si>
  <si>
    <t>Nivel</t>
  </si>
  <si>
    <t>Desempeño base Individual</t>
  </si>
  <si>
    <t>Lim. Inferior ind</t>
  </si>
  <si>
    <t>Lim. Superior ind</t>
  </si>
  <si>
    <t>Factor ind. Calle</t>
  </si>
  <si>
    <t>Factor Individual Mostrador</t>
  </si>
  <si>
    <t>TELEMARKETING</t>
  </si>
  <si>
    <t>JOSE VENTURA ROJAS DIAZ</t>
  </si>
  <si>
    <t>Sucursal TR</t>
  </si>
  <si>
    <t>Rojo</t>
  </si>
  <si>
    <t>&lt; 75%</t>
  </si>
  <si>
    <t>MANUEL BOTELLO PORTILLO</t>
  </si>
  <si>
    <t>sucursal GP</t>
  </si>
  <si>
    <t>Bronce</t>
  </si>
  <si>
    <t>75%&lt;110%</t>
  </si>
  <si>
    <t>Sucursal Monc</t>
  </si>
  <si>
    <t>Plata</t>
  </si>
  <si>
    <t>110% &lt; 120%</t>
  </si>
  <si>
    <t>VICTOR MANUEL FLORES LOPEZ</t>
  </si>
  <si>
    <t>Sucursal PN</t>
  </si>
  <si>
    <t>Oro</t>
  </si>
  <si>
    <t>&gt;=120%</t>
  </si>
  <si>
    <t>-</t>
  </si>
  <si>
    <t>ANTONIO CRUZ REYES</t>
  </si>
  <si>
    <t>Total:</t>
  </si>
  <si>
    <t>GP</t>
  </si>
  <si>
    <t>VICTOR HUMBERTO DIAZ CERDA</t>
  </si>
  <si>
    <t>GRUPAL</t>
  </si>
  <si>
    <t>Desempeño Base Grupo</t>
  </si>
  <si>
    <t>Lim inferior Grupo</t>
  </si>
  <si>
    <t>Lim Superior Grupo</t>
  </si>
  <si>
    <t>Factor Grupal Calle</t>
  </si>
  <si>
    <t>Factor Grupal Mostrador</t>
  </si>
  <si>
    <t>CESAR ALEJANDRO BALTAZAR CISNEROS</t>
  </si>
  <si>
    <t>HUGO ALBERTO BERNAL CASTILLO</t>
  </si>
  <si>
    <t>ALFREDO PIZANA SAMANIEGO</t>
  </si>
  <si>
    <t>120% &lt; 133%</t>
  </si>
  <si>
    <t>TRC</t>
  </si>
  <si>
    <t>LEADS</t>
  </si>
  <si>
    <t>IRLANDA SANCHEZ</t>
  </si>
  <si>
    <t>133% &lt; 150%</t>
  </si>
  <si>
    <t>AUX FLEET</t>
  </si>
  <si>
    <t>BRANDON DANIEL SALAZAR</t>
  </si>
  <si>
    <t>Platino</t>
  </si>
  <si>
    <t>&gt;= 160%</t>
  </si>
  <si>
    <t>JEFE SUCURSAL</t>
  </si>
  <si>
    <t>FRANCISCO JAVIER GALAVIZ RUELAS</t>
  </si>
  <si>
    <t>Rodio</t>
  </si>
  <si>
    <t>&gt;= 170%</t>
  </si>
  <si>
    <t>MONC</t>
  </si>
  <si>
    <t>ESTEBAN BRIONES LARA</t>
  </si>
  <si>
    <t>VICTOR HUGO FLORES PEREZ</t>
  </si>
  <si>
    <t>FACTORES SUMADOS INDIVIDUAL + GRUPAL</t>
  </si>
  <si>
    <t>Factores sumados Calle</t>
  </si>
  <si>
    <t>Factores sumados Mostrador</t>
  </si>
  <si>
    <t>MIRNA CONSUELO CEPEDA LERMA</t>
  </si>
  <si>
    <t>PN</t>
  </si>
  <si>
    <t>JOSE ANTONIO ALVARADO VILLANUEVA</t>
  </si>
  <si>
    <t>ERICK IVAN FRAUSTO CORTEZ</t>
  </si>
  <si>
    <t>HELADIO SANTOS REYES</t>
  </si>
  <si>
    <t>ADMINISTRATIVO</t>
  </si>
  <si>
    <t>MOSTRADOR PN</t>
  </si>
  <si>
    <t xml:space="preserve">Cliente </t>
  </si>
  <si>
    <t xml:space="preserve">Vendedor </t>
  </si>
  <si>
    <t>FLEET SERVICE LALA</t>
  </si>
  <si>
    <t>CONSOLIDAMEX</t>
  </si>
  <si>
    <t>FLEET SERVICE CCN</t>
  </si>
  <si>
    <t>FLEET SERVICE GEN INDUSTRIAL</t>
  </si>
  <si>
    <t>PAMESA DE LA LAGUNA</t>
  </si>
  <si>
    <t>FLEET SERVICE COPPEL REFACCIONES</t>
  </si>
  <si>
    <t>FLEET SERVICE PASA TORREÓN</t>
  </si>
  <si>
    <t>RANCHO LUCERO</t>
  </si>
  <si>
    <t>FLEET SERVICE QUÁLITAS</t>
  </si>
  <si>
    <t>JIBE CONSTRUCCIONES Y PAVIMENTOS</t>
  </si>
  <si>
    <t>ALEJANDRA ESQUIVEL FERNANDEZ</t>
  </si>
  <si>
    <t>TRANSPORTES Y SERVICIOS PATRI</t>
  </si>
  <si>
    <t>TRANSPORTES VILLARREAL BERLANGA</t>
  </si>
  <si>
    <t>FLEET SERVICE BARCEL</t>
  </si>
  <si>
    <t>FLEET SERVICE SIMSA</t>
  </si>
  <si>
    <t>TRANSPORTES ESPECIALIZADOS LUCERO</t>
  </si>
  <si>
    <t>MAVERICK EXPRESS CARRIERS LLC</t>
  </si>
  <si>
    <t>TRANSPORTES MINEROS DE COAHUILA</t>
  </si>
  <si>
    <t>TRANSPORTADORA DE RENDIMIENTOS DE LA LAGUNA</t>
  </si>
  <si>
    <t>RADO IMPORTACIONES</t>
  </si>
  <si>
    <t>ROJO LOGISTIC</t>
  </si>
  <si>
    <t>MAS PORTEO</t>
  </si>
  <si>
    <t>TRANSPORTES BRECA</t>
  </si>
  <si>
    <t>TRANSPORTES GARZA LEAL</t>
  </si>
  <si>
    <t>TRANSPORTES COLMAR</t>
  </si>
  <si>
    <t>TRANSPORTADORA ALPURA</t>
  </si>
  <si>
    <t>CIRCULO RECOLECTOR</t>
  </si>
  <si>
    <t>RICARDO FLORES</t>
  </si>
  <si>
    <t>FRANCISCO JAVIER CALDERON RECIO</t>
  </si>
  <si>
    <t>FLEET SERVICE CEMEX TRANSPORTE</t>
  </si>
  <si>
    <t>SISTEMAS DE APOYO LOGISTICO AL COMERCIO INTERNACIO</t>
  </si>
  <si>
    <t>TCI TRANSPORTES</t>
  </si>
  <si>
    <t>FLEET SERVICE TRANSMONTES</t>
  </si>
  <si>
    <t>LINEAS 1° DE MAYO</t>
  </si>
  <si>
    <t>TRANSINTERNACIONAL</t>
  </si>
  <si>
    <t>TRANSPORTADORA DE LA LAGUNA</t>
  </si>
  <si>
    <t>PAYSA TRANSPORTES</t>
  </si>
  <si>
    <t>ERVEY ALVAREZ HUERTA</t>
  </si>
  <si>
    <t>AUTOLINEAS MRD</t>
  </si>
  <si>
    <t>TRANSPORTES FORANEOS Y LOCALES DE RIO GRANDE</t>
  </si>
  <si>
    <t>AGRICOLA EL EDEN</t>
  </si>
  <si>
    <t>BETA SANTA MONICA</t>
  </si>
  <si>
    <t>COMPAÑIA HARINERA DE LA LAGUNA</t>
  </si>
  <si>
    <t>METALURGICA MET-MEX PEÑOLES</t>
  </si>
  <si>
    <t>FLEET SERVICE GNP</t>
  </si>
  <si>
    <t>FLETES CHILCHOTA</t>
  </si>
  <si>
    <t>CARTA BLANCA LAGUNERA</t>
  </si>
  <si>
    <t>DUMA TRANSPORTES</t>
  </si>
  <si>
    <t>SUPERIOR MEAT COMPANY</t>
  </si>
  <si>
    <t>AUTOMOTRIZ GALVAN Y MUZQUIZ</t>
  </si>
  <si>
    <t>TRANSPORTADORA DE LIQUIDOS AZTECA</t>
  </si>
  <si>
    <t>JUAN MANUEL ARMENDARIZ GARCIA</t>
  </si>
  <si>
    <t>SUPER GUTIERREZ</t>
  </si>
  <si>
    <t>FLEET SERVICE PASA ACUÑA</t>
  </si>
  <si>
    <t>HERMANOS BATTA</t>
  </si>
  <si>
    <t>AUTOBUSES UNION</t>
  </si>
  <si>
    <t>FLEET SERVICE CEMEX CONCRETOS</t>
  </si>
  <si>
    <t>SOLUCIONES DE TRANSPORTE DE PERSONAL</t>
  </si>
  <si>
    <t>EMBRAGUES Y FRENOS DE LA LAGUNA</t>
  </si>
  <si>
    <t>TRANSERVICIOS</t>
  </si>
  <si>
    <t>TRANSPORTE ESPECIALIZADO ELISEO</t>
  </si>
  <si>
    <t>MARIA MONICA SANCHEZ LOZANO</t>
  </si>
  <si>
    <t>SERVICIOS GTA</t>
  </si>
  <si>
    <t>TRANSPORTACIONES Y COMERCIALIZADORA DAGO</t>
  </si>
  <si>
    <t>COERSA LOGISTICA</t>
  </si>
  <si>
    <t>JOAQUIN VILLANUEVA HERNANDEZ</t>
  </si>
  <si>
    <t>JOSE BELISARIO RUBIO ARIZPE</t>
  </si>
  <si>
    <t>OSCAR CRISTO ZAMARRIPA DE LOS SANTOS</t>
  </si>
  <si>
    <t>CONCRETOS VISION</t>
  </si>
  <si>
    <t>JUAN GABRIEL MENDEZ VILLARREAL</t>
  </si>
  <si>
    <t>RICARDO ALBERTO MARCOS BUGARIN</t>
  </si>
  <si>
    <t>DISTRIBUIDORA DE COMBUSTIBLES LAGUNA</t>
  </si>
  <si>
    <t>RANCHO SANTO TOMAS</t>
  </si>
  <si>
    <t>JUAN GABRIEL DE LA TORRE SANCHEZ</t>
  </si>
  <si>
    <t>TURISMO TITO@C39S</t>
  </si>
  <si>
    <t>FERNANDO LOPEZ DELGADILLO</t>
  </si>
  <si>
    <t>EDUARDO ANTONIO TRICIO SIERRA</t>
  </si>
  <si>
    <t>TRANSPORTES RIOJAS GONZALEZ</t>
  </si>
  <si>
    <t>SERVICIOS EMPRESARIALES UNION</t>
  </si>
  <si>
    <t>TRANSPORTADORA REME DE LA LAGUNA</t>
  </si>
  <si>
    <t>R.V. RECICLADOS</t>
  </si>
  <si>
    <t>SETSA TRASNPORTES</t>
  </si>
  <si>
    <t>GD APPAREL</t>
  </si>
  <si>
    <t>PREMEZCLADOS NAZAS</t>
  </si>
  <si>
    <t>OSCAR JAVIER JIMENEZ PEREZ</t>
  </si>
  <si>
    <t>RAYMUNDO VALENZUELA CHAIREZ</t>
  </si>
  <si>
    <t>MIDORY GALVAN BERNAL</t>
  </si>
  <si>
    <t>LUIS DEL VILLAR GARCIA</t>
  </si>
  <si>
    <t>BLANCA XOCHITL CAVANZON SILOS</t>
  </si>
  <si>
    <t>QUIMICA DEL REY</t>
  </si>
  <si>
    <t>GRUPO CONCRETOS</t>
  </si>
  <si>
    <t>OSCAR RENE RODRIGUEZ FLORES</t>
  </si>
  <si>
    <t>MARIA LUISA ORTIZ CISNEROS</t>
  </si>
  <si>
    <t>VICTOR DE JESUS VEGA RODRIGUEZ</t>
  </si>
  <si>
    <t>CÉSAR ALEJANDRO BALTAZAR CISNEROS</t>
  </si>
  <si>
    <t>NOMBRE_ASESOR</t>
  </si>
  <si>
    <t>PROMEDIO_LITROS_2025</t>
  </si>
  <si>
    <t>NUEVO SEPT 2026</t>
  </si>
  <si>
    <t>Nueva Meta Sept 2026</t>
  </si>
  <si>
    <t>JESUS ALFONSO CARLOS FERNANDEZ</t>
  </si>
  <si>
    <t>JESUS ARTURO CALDERON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</si>
</sst>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\-??_);_(@_)"/>
    <numFmt numFmtId="165" formatCode="_(* #,##0_);_(* \(#,##0\);_(* &quot;-&quot;??_);_(@_)"/>
    <numFmt numFmtId="166" formatCode="_-&quot;$&quot;* #,##0_-;\-&quot;$&quot;* #,##0_-;_-&quot;$&quot;* &quot;-&quot;??_-;_-@_-"/>
    <numFmt numFmtId="167" formatCode="_(* #,##0.00_);_(* \(#,##0.00\);_(* \-??_);_(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563C1"/>
      <name val="Calibri"/>
      <family val="2"/>
      <charset val="1"/>
    </font>
    <font>
      <u/>
      <sz val="11"/>
      <color rgb="FFFF0000"/>
      <name val="Aptos Narrow"/>
      <family val="2"/>
      <scheme val="minor"/>
    </font>
    <font>
      <sz val="11"/>
      <color rgb="FF0563C1"/>
      <name val="Calibri"/>
      <family val="2"/>
    </font>
    <font>
      <u/>
      <sz val="11"/>
      <color rgb="FF0563C1"/>
      <name val="Calibri"/>
      <family val="2"/>
      <charset val="1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9"/>
      <color rgb="FF363636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363636"/>
      <name val="Arial"/>
      <family val="2"/>
    </font>
    <font>
      <sz val="8"/>
      <color rgb="FF333333"/>
      <name val="Arial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CC"/>
        <bgColor rgb="FF0000FF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/>
    <xf numFmtId="0" fontId="3" fillId="0" borderId="0"/>
    <xf numFmtId="0" fontId="1" fillId="0" borderId="0"/>
    <xf numFmtId="167" fontId="6" fillId="0" borderId="0"/>
    <xf numFmtId="0" fontId="1" fillId="0" borderId="0"/>
    <xf numFmtId="0" fontId="6" fillId="0" borderId="0"/>
    <xf numFmtId="0" fontId="10" fillId="0" borderId="0"/>
    <xf numFmtId="0" fontId="1" fillId="0" borderId="0"/>
    <xf numFmtId="44" fontId="1" fillId="0" borderId="0"/>
  </cellStyleXfs>
  <cellXfs count="90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2" xfId="0" applyFont="1" applyFill="1" applyBorder="1" applyAlignment="1">
      <alignment horizontal="center"/>
    </xf>
    <xf numFmtId="0" fontId="1" fillId="0" borderId="2" xfId="3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3" borderId="2" xfId="3" applyFill="1" applyBorder="1" applyAlignment="1">
      <alignment horizontal="center" vertical="center"/>
    </xf>
    <xf numFmtId="0" fontId="0" fillId="3" borderId="2" xfId="0" applyFill="1" applyBorder="1"/>
    <xf numFmtId="0" fontId="3" fillId="3" borderId="2" xfId="2" applyFill="1" applyBorder="1"/>
    <xf numFmtId="0" fontId="0" fillId="3" borderId="2" xfId="0" applyFill="1" applyBorder="1" applyAlignment="1">
      <alignment horizontal="center"/>
    </xf>
    <xf numFmtId="0" fontId="3" fillId="0" borderId="0" xfId="2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2" xfId="5" applyBorder="1"/>
    <xf numFmtId="0" fontId="1" fillId="0" borderId="2" xfId="5" applyBorder="1" applyAlignment="1">
      <alignment horizontal="center"/>
    </xf>
    <xf numFmtId="0" fontId="2" fillId="0" borderId="2" xfId="3" applyFont="1" applyBorder="1" applyAlignment="1">
      <alignment horizontal="center" vertical="center"/>
    </xf>
    <xf numFmtId="0" fontId="2" fillId="0" borderId="2" xfId="5" applyFont="1" applyBorder="1"/>
    <xf numFmtId="0" fontId="8" fillId="0" borderId="3" xfId="2" applyFont="1" applyBorder="1"/>
    <xf numFmtId="0" fontId="2" fillId="0" borderId="2" xfId="5" applyFont="1" applyBorder="1" applyAlignment="1">
      <alignment horizontal="center"/>
    </xf>
    <xf numFmtId="0" fontId="3" fillId="0" borderId="3" xfId="2" applyBorder="1"/>
    <xf numFmtId="0" fontId="1" fillId="3" borderId="2" xfId="5" applyFill="1" applyBorder="1"/>
    <xf numFmtId="0" fontId="3" fillId="3" borderId="3" xfId="2" applyFill="1" applyBorder="1"/>
    <xf numFmtId="0" fontId="1" fillId="3" borderId="2" xfId="5" applyFill="1" applyBorder="1" applyAlignment="1">
      <alignment horizontal="center"/>
    </xf>
    <xf numFmtId="0" fontId="0" fillId="0" borderId="2" xfId="6" applyFont="1" applyBorder="1"/>
    <xf numFmtId="0" fontId="6" fillId="0" borderId="2" xfId="6" applyBorder="1" applyAlignment="1">
      <alignment horizontal="center"/>
    </xf>
    <xf numFmtId="0" fontId="0" fillId="0" borderId="2" xfId="6" applyFont="1" applyBorder="1" applyAlignment="1">
      <alignment horizontal="left"/>
    </xf>
    <xf numFmtId="0" fontId="10" fillId="0" borderId="3" xfId="7" applyBorder="1"/>
    <xf numFmtId="0" fontId="0" fillId="0" borderId="2" xfId="6" applyFont="1" applyBorder="1" applyAlignment="1">
      <alignment horizontal="center" vertical="center"/>
    </xf>
    <xf numFmtId="0" fontId="1" fillId="0" borderId="2" xfId="3" applyBorder="1"/>
    <xf numFmtId="0" fontId="3" fillId="0" borderId="2" xfId="2" applyBorder="1"/>
    <xf numFmtId="0" fontId="1" fillId="0" borderId="2" xfId="3" applyBorder="1" applyAlignment="1">
      <alignment horizontal="left" vertical="center"/>
    </xf>
    <xf numFmtId="0" fontId="11" fillId="0" borderId="2" xfId="8" applyFont="1" applyBorder="1"/>
    <xf numFmtId="0" fontId="11" fillId="0" borderId="2" xfId="8" applyFont="1" applyBorder="1" applyAlignment="1">
      <alignment horizontal="center"/>
    </xf>
    <xf numFmtId="0" fontId="9" fillId="0" borderId="2" xfId="8" applyFont="1" applyBorder="1"/>
    <xf numFmtId="0" fontId="14" fillId="5" borderId="4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0" xfId="0" applyFont="1"/>
    <xf numFmtId="0" fontId="14" fillId="6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2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9" fontId="0" fillId="0" borderId="4" xfId="0" quotePrefix="1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13" fillId="8" borderId="4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/>
    </xf>
    <xf numFmtId="9" fontId="0" fillId="0" borderId="2" xfId="0" quotePrefix="1" applyNumberFormat="1" applyBorder="1" applyAlignment="1">
      <alignment horizontal="center" vertical="center"/>
    </xf>
    <xf numFmtId="10" fontId="13" fillId="9" borderId="2" xfId="0" applyNumberFormat="1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0" fontId="0" fillId="10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0" fontId="0" fillId="11" borderId="2" xfId="0" applyNumberForma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12" fillId="7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/>
    </xf>
    <xf numFmtId="49" fontId="23" fillId="14" borderId="2" xfId="0" applyNumberFormat="1" applyFont="1" applyFill="1" applyBorder="1"/>
    <xf numFmtId="0" fontId="22" fillId="14" borderId="2" xfId="0" applyFont="1" applyFill="1" applyBorder="1" applyAlignment="1">
      <alignment horizontal="left" vertical="center"/>
    </xf>
    <xf numFmtId="0" fontId="22" fillId="14" borderId="2" xfId="0" applyFont="1" applyFill="1" applyBorder="1" applyAlignment="1">
      <alignment vertical="center"/>
    </xf>
    <xf numFmtId="0" fontId="20" fillId="0" borderId="0" xfId="0" applyFont="1"/>
    <xf numFmtId="164" fontId="7" fillId="0" borderId="2" xfId="4" applyNumberFormat="1" applyFont="1" applyBorder="1" applyAlignment="1">
      <alignment horizontal="center"/>
    </xf>
    <xf numFmtId="165" fontId="9" fillId="0" borderId="2" xfId="1" applyNumberFormat="1" applyFont="1" applyBorder="1" applyAlignment="1">
      <alignment horizontal="center"/>
    </xf>
    <xf numFmtId="165" fontId="9" fillId="0" borderId="2" xfId="1" applyNumberFormat="1" applyFont="1" applyBorder="1" applyAlignment="1">
      <alignment vertical="center"/>
    </xf>
    <xf numFmtId="166" fontId="11" fillId="0" borderId="2" xfId="9" applyNumberFormat="1" applyFont="1" applyBorder="1"/>
    <xf numFmtId="166" fontId="15" fillId="0" borderId="0" xfId="0" applyNumberFormat="1" applyFont="1"/>
    <xf numFmtId="166" fontId="11" fillId="0" borderId="2" xfId="0" applyNumberFormat="1" applyFont="1" applyBorder="1"/>
    <xf numFmtId="166" fontId="11" fillId="0" borderId="0" xfId="0" applyNumberFormat="1" applyFont="1"/>
    <xf numFmtId="166" fontId="0" fillId="0" borderId="0" xfId="0" applyNumberFormat="1"/>
    <xf numFmtId="166" fontId="11" fillId="0" borderId="5" xfId="0" applyNumberFormat="1" applyFont="1" applyBorder="1"/>
    <xf numFmtId="166" fontId="11" fillId="0" borderId="5" xfId="9" applyNumberFormat="1" applyFont="1" applyBorder="1"/>
    <xf numFmtId="0" fontId="14" fillId="16" borderId="5" xfId="0" applyFont="1" applyFill="1" applyBorder="1" applyAlignment="1">
      <alignment horizontal="center" vertical="center" wrapText="1"/>
    </xf>
    <xf numFmtId="44" fontId="21" fillId="14" borderId="2" xfId="9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center"/>
    </xf>
    <xf numFmtId="166" fontId="24" fillId="0" borderId="0" xfId="0" applyNumberFormat="1" applyFont="1"/>
    <xf numFmtId="166" fontId="25" fillId="0" borderId="0" xfId="0" applyNumberFormat="1" applyFont="1"/>
    <xf numFmtId="0" fontId="12" fillId="4" borderId="5" xfId="0" applyFont="1" applyFill="1" applyBorder="1" applyAlignment="1">
      <alignment horizontal="center" vertical="center" textRotation="90"/>
    </xf>
    <xf numFmtId="0" fontId="0" fillId="0" borderId="5" xfId="0" applyBorder="1" applyAlignment="1"/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</cellXfs>
  <cellStyles count="10">
    <cellStyle name="Comma 2" xfId="4"/>
    <cellStyle name="Hipervínculo" xfId="2" builtinId="8"/>
    <cellStyle name="Hyperlink 2 2" xfId="7"/>
    <cellStyle name="Millares" xfId="1" builtinId="3"/>
    <cellStyle name="Moneda" xfId="9" builtinId="4"/>
    <cellStyle name="Normal" xfId="0" builtinId="0"/>
    <cellStyle name="Normal 2 2 7" xfId="5"/>
    <cellStyle name="Normal 3 2 2" xfId="3"/>
    <cellStyle name="Normal 3 3" xfId="6"/>
    <cellStyle name="Normal 4 2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jgalaviz@amher.com.mx" TargetMode="External"/><Relationship Id="rId13" Type="http://schemas.openxmlformats.org/officeDocument/2006/relationships/hyperlink" Target="mailto:brandon.salazar@amher.com.mx" TargetMode="External"/><Relationship Id="rId18" Type="http://schemas.openxmlformats.org/officeDocument/2006/relationships/hyperlink" Target="mailto:almacen.monclova@amher.com.mx" TargetMode="External"/><Relationship Id="rId3" Type="http://schemas.openxmlformats.org/officeDocument/2006/relationships/hyperlink" Target="mailto:rojore@amher.com.mx" TargetMode="External"/><Relationship Id="rId21" Type="http://schemas.openxmlformats.org/officeDocument/2006/relationships/hyperlink" Target="mailto:antonio.alvarado@amher.com.mx" TargetMode="External"/><Relationship Id="rId7" Type="http://schemas.openxmlformats.org/officeDocument/2006/relationships/hyperlink" Target="mailto:alfonso.carlos@amher.com.mx" TargetMode="External"/><Relationship Id="rId12" Type="http://schemas.openxmlformats.org/officeDocument/2006/relationships/hyperlink" Target="mailto:alejandro.baltazar@amher.com.mx" TargetMode="External"/><Relationship Id="rId17" Type="http://schemas.openxmlformats.org/officeDocument/2006/relationships/hyperlink" Target="mailto:vhflores@amher.com.mx" TargetMode="External"/><Relationship Id="rId2" Type="http://schemas.openxmlformats.org/officeDocument/2006/relationships/hyperlink" Target="mailto:flvire@amher.com.mx" TargetMode="External"/><Relationship Id="rId16" Type="http://schemas.openxmlformats.org/officeDocument/2006/relationships/hyperlink" Target="mailto:esteban.briones@amher.com.mx" TargetMode="External"/><Relationship Id="rId20" Type="http://schemas.openxmlformats.org/officeDocument/2006/relationships/hyperlink" Target="mailto:erick.frausto@amher.com.mx" TargetMode="External"/><Relationship Id="rId1" Type="http://schemas.openxmlformats.org/officeDocument/2006/relationships/hyperlink" Target="mailto:bomare@amher.com.mx" TargetMode="External"/><Relationship Id="rId6" Type="http://schemas.openxmlformats.org/officeDocument/2006/relationships/hyperlink" Target="mailto:david.campos@amher.com.mx" TargetMode="External"/><Relationship Id="rId11" Type="http://schemas.openxmlformats.org/officeDocument/2006/relationships/hyperlink" Target="mailto:hugo.bernal@amher.com.mx" TargetMode="External"/><Relationship Id="rId5" Type="http://schemas.openxmlformats.org/officeDocument/2006/relationships/hyperlink" Target="mailto:antonio.cruz@amher.com.mx" TargetMode="External"/><Relationship Id="rId15" Type="http://schemas.openxmlformats.org/officeDocument/2006/relationships/hyperlink" Target="mailto:mcepeda@amher.com.mx" TargetMode="External"/><Relationship Id="rId10" Type="http://schemas.openxmlformats.org/officeDocument/2006/relationships/hyperlink" Target="mailto:alfredo.pizana@amher.com.mx" TargetMode="External"/><Relationship Id="rId19" Type="http://schemas.openxmlformats.org/officeDocument/2006/relationships/hyperlink" Target="mailto:arturo.calderon@amher.com.mx" TargetMode="External"/><Relationship Id="rId4" Type="http://schemas.openxmlformats.org/officeDocument/2006/relationships/hyperlink" Target="mailto:victor.garcia@amher.com.mx" TargetMode="External"/><Relationship Id="rId9" Type="http://schemas.openxmlformats.org/officeDocument/2006/relationships/hyperlink" Target="mailto:ivan.lopezm@amher.com.mx" TargetMode="External"/><Relationship Id="rId14" Type="http://schemas.openxmlformats.org/officeDocument/2006/relationships/hyperlink" Target="mailto:dereck.vargas@amher.com.mx" TargetMode="External"/><Relationship Id="rId22" Type="http://schemas.openxmlformats.org/officeDocument/2006/relationships/hyperlink" Target="mailto:heladio.satos@amher.com.m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5"/>
  <sheetViews>
    <sheetView topLeftCell="A62" workbookViewId="0">
      <selection activeCell="F15" sqref="F15"/>
    </sheetView>
  </sheetViews>
  <sheetFormatPr baseColWidth="10" defaultColWidth="9.09765625" defaultRowHeight="13.8"/>
  <cols>
    <col min="2" max="2" width="16.8984375" customWidth="1"/>
    <col min="3" max="3" width="35.3984375" customWidth="1"/>
    <col min="4" max="4" width="33.09765625" customWidth="1"/>
    <col min="5" max="5" width="20" style="3" customWidth="1"/>
    <col min="6" max="6" width="30.09765625" bestFit="1" customWidth="1"/>
  </cols>
  <sheetData>
    <row r="2" spans="2:7" ht="15.6" customHeight="1">
      <c r="B2" s="1" t="s">
        <v>0</v>
      </c>
      <c r="C2" s="2" t="s">
        <v>1</v>
      </c>
    </row>
    <row r="4" spans="2:7" ht="14.4" customHeight="1">
      <c r="B4" s="4" t="s">
        <v>2</v>
      </c>
      <c r="C4" s="4" t="s">
        <v>3</v>
      </c>
      <c r="D4" s="5" t="s">
        <v>4</v>
      </c>
      <c r="E4" s="6" t="s">
        <v>5</v>
      </c>
      <c r="F4" s="4" t="s">
        <v>6</v>
      </c>
    </row>
    <row r="5" spans="2:7">
      <c r="B5" s="7" t="s">
        <v>7</v>
      </c>
      <c r="C5" s="8" t="s">
        <v>8</v>
      </c>
      <c r="D5" s="23" t="s">
        <v>9</v>
      </c>
      <c r="E5" s="9" t="s">
        <v>10</v>
      </c>
      <c r="F5" s="8" t="s">
        <v>11</v>
      </c>
      <c r="G5" t="s">
        <v>12</v>
      </c>
    </row>
    <row r="6" spans="2:7">
      <c r="B6" s="7" t="s">
        <v>7</v>
      </c>
      <c r="C6" s="8" t="s">
        <v>13</v>
      </c>
      <c r="D6" s="23" t="s">
        <v>14</v>
      </c>
      <c r="E6" s="9" t="s">
        <v>15</v>
      </c>
      <c r="F6" s="8" t="s">
        <v>11</v>
      </c>
    </row>
    <row r="7" spans="2:7">
      <c r="B7" s="7" t="s">
        <v>7</v>
      </c>
      <c r="C7" s="8" t="s">
        <v>16</v>
      </c>
      <c r="D7" s="23" t="s">
        <v>17</v>
      </c>
      <c r="E7" s="9" t="s">
        <v>18</v>
      </c>
      <c r="F7" s="8" t="s">
        <v>19</v>
      </c>
    </row>
    <row r="8" spans="2:7">
      <c r="B8" s="7" t="s">
        <v>7</v>
      </c>
      <c r="C8" s="8" t="s">
        <v>20</v>
      </c>
      <c r="D8" s="23" t="s">
        <v>21</v>
      </c>
      <c r="E8" s="9" t="s">
        <v>22</v>
      </c>
      <c r="F8" s="8" t="s">
        <v>23</v>
      </c>
    </row>
    <row r="9" spans="2:7">
      <c r="B9" s="7" t="s">
        <v>7</v>
      </c>
      <c r="C9" s="8" t="s">
        <v>24</v>
      </c>
      <c r="D9" s="23" t="s">
        <v>25</v>
      </c>
      <c r="E9" s="9" t="s">
        <v>26</v>
      </c>
      <c r="F9" s="8" t="s">
        <v>23</v>
      </c>
    </row>
    <row r="10" spans="2:7">
      <c r="B10" s="7" t="s">
        <v>7</v>
      </c>
      <c r="C10" s="8" t="s">
        <v>27</v>
      </c>
      <c r="D10" s="23" t="s">
        <v>28</v>
      </c>
      <c r="E10" s="9" t="s">
        <v>29</v>
      </c>
      <c r="F10" s="8" t="s">
        <v>30</v>
      </c>
    </row>
    <row r="11" spans="2:7">
      <c r="B11" s="7" t="s">
        <v>7</v>
      </c>
      <c r="C11" s="8" t="s">
        <v>31</v>
      </c>
      <c r="D11" s="33" t="s">
        <v>32</v>
      </c>
      <c r="E11" s="9" t="s">
        <v>33</v>
      </c>
      <c r="F11" s="8" t="s">
        <v>34</v>
      </c>
    </row>
    <row r="12" spans="2:7">
      <c r="B12" s="10"/>
      <c r="C12" s="11" t="s">
        <v>35</v>
      </c>
      <c r="D12" s="12"/>
      <c r="E12" s="13"/>
      <c r="F12" s="11" t="s">
        <v>36</v>
      </c>
    </row>
    <row r="13" spans="2:7">
      <c r="B13" s="7"/>
      <c r="C13" s="8"/>
      <c r="D13" s="33"/>
      <c r="E13" s="9"/>
      <c r="F13" s="8"/>
    </row>
    <row r="14" spans="2:7">
      <c r="B14" s="3"/>
      <c r="D14" s="14"/>
    </row>
    <row r="15" spans="2:7" ht="14.4" customHeight="1">
      <c r="B15" s="4" t="s">
        <v>37</v>
      </c>
      <c r="C15" s="4" t="s">
        <v>38</v>
      </c>
      <c r="D15" s="6" t="s">
        <v>39</v>
      </c>
      <c r="E15" s="15" t="s">
        <v>5</v>
      </c>
      <c r="F15" s="16" t="s">
        <v>6</v>
      </c>
    </row>
    <row r="16" spans="2:7" ht="14.4" customHeight="1">
      <c r="B16" s="7" t="s">
        <v>7</v>
      </c>
      <c r="C16" s="8" t="s">
        <v>40</v>
      </c>
      <c r="D16" s="70">
        <v>1</v>
      </c>
    </row>
    <row r="17" spans="2:7" ht="14.4" customHeight="1">
      <c r="B17" s="7" t="s">
        <v>7</v>
      </c>
      <c r="C17" s="8" t="s">
        <v>41</v>
      </c>
      <c r="D17" s="70">
        <v>6</v>
      </c>
    </row>
    <row r="18" spans="2:7" ht="14.4" customHeight="1">
      <c r="B18" s="7" t="s">
        <v>7</v>
      </c>
      <c r="C18" s="8" t="s">
        <v>42</v>
      </c>
      <c r="D18" s="70">
        <v>2</v>
      </c>
    </row>
    <row r="19" spans="2:7" ht="14.4" customHeight="1">
      <c r="B19" s="7" t="s">
        <v>7</v>
      </c>
      <c r="C19" s="8" t="s">
        <v>43</v>
      </c>
      <c r="D19" s="70">
        <v>2</v>
      </c>
    </row>
    <row r="20" spans="2:7" ht="14.4" customHeight="1">
      <c r="B20" s="7" t="s">
        <v>7</v>
      </c>
      <c r="C20" s="8" t="s">
        <v>44</v>
      </c>
      <c r="D20" s="70">
        <v>2</v>
      </c>
    </row>
    <row r="21" spans="2:7" ht="14.4" customHeight="1">
      <c r="B21" s="7" t="s">
        <v>7</v>
      </c>
      <c r="C21" s="8" t="s">
        <v>45</v>
      </c>
      <c r="D21" s="70">
        <v>10</v>
      </c>
    </row>
    <row r="22" spans="2:7" ht="14.4" customHeight="1">
      <c r="B22" s="7" t="s">
        <v>7</v>
      </c>
      <c r="C22" s="8" t="s">
        <v>46</v>
      </c>
      <c r="D22" s="70">
        <v>7</v>
      </c>
    </row>
    <row r="23" spans="2:7">
      <c r="B23" s="3"/>
      <c r="D23" s="14"/>
    </row>
    <row r="24" spans="2:7" ht="14.4" customHeight="1">
      <c r="B24" s="4" t="s">
        <v>37</v>
      </c>
      <c r="C24" s="4" t="s">
        <v>3</v>
      </c>
      <c r="D24" s="5" t="s">
        <v>4</v>
      </c>
      <c r="E24" s="6" t="s">
        <v>5</v>
      </c>
      <c r="F24" s="4" t="s">
        <v>6</v>
      </c>
    </row>
    <row r="25" spans="2:7">
      <c r="B25" s="7" t="s">
        <v>47</v>
      </c>
      <c r="C25" s="17" t="s">
        <v>48</v>
      </c>
      <c r="D25" s="23" t="s">
        <v>49</v>
      </c>
      <c r="E25" s="18" t="s">
        <v>50</v>
      </c>
      <c r="F25" s="17" t="s">
        <v>51</v>
      </c>
    </row>
    <row r="26" spans="2:7">
      <c r="B26" s="19" t="s">
        <v>47</v>
      </c>
      <c r="C26" s="20" t="s">
        <v>52</v>
      </c>
      <c r="D26" s="21" t="s">
        <v>53</v>
      </c>
      <c r="E26" s="22" t="s">
        <v>54</v>
      </c>
      <c r="F26" s="20" t="s">
        <v>23</v>
      </c>
      <c r="G26" t="s">
        <v>55</v>
      </c>
    </row>
    <row r="27" spans="2:7">
      <c r="B27" s="7" t="s">
        <v>47</v>
      </c>
      <c r="C27" s="17" t="s">
        <v>56</v>
      </c>
      <c r="D27" s="23" t="s">
        <v>57</v>
      </c>
      <c r="E27" s="18" t="s">
        <v>58</v>
      </c>
      <c r="F27" s="17" t="s">
        <v>23</v>
      </c>
    </row>
    <row r="28" spans="2:7">
      <c r="B28" s="7" t="s">
        <v>47</v>
      </c>
      <c r="C28" s="17" t="s">
        <v>59</v>
      </c>
      <c r="D28" s="23" t="s">
        <v>60</v>
      </c>
      <c r="E28" s="18" t="s">
        <v>61</v>
      </c>
      <c r="F28" s="17" t="s">
        <v>23</v>
      </c>
    </row>
    <row r="29" spans="2:7">
      <c r="B29" s="7" t="s">
        <v>47</v>
      </c>
      <c r="C29" s="17" t="s">
        <v>62</v>
      </c>
      <c r="D29" s="23" t="s">
        <v>63</v>
      </c>
      <c r="E29" s="18" t="s">
        <v>64</v>
      </c>
      <c r="F29" s="17" t="s">
        <v>11</v>
      </c>
    </row>
    <row r="30" spans="2:7">
      <c r="B30" s="7" t="s">
        <v>47</v>
      </c>
      <c r="C30" s="17" t="s">
        <v>65</v>
      </c>
      <c r="D30" s="23" t="s">
        <v>66</v>
      </c>
      <c r="E30" s="18" t="s">
        <v>67</v>
      </c>
      <c r="F30" s="17" t="s">
        <v>68</v>
      </c>
    </row>
    <row r="31" spans="2:7">
      <c r="B31" s="7" t="s">
        <v>47</v>
      </c>
      <c r="C31" s="17" t="s">
        <v>69</v>
      </c>
      <c r="D31" s="23" t="s">
        <v>70</v>
      </c>
      <c r="E31" s="18" t="s">
        <v>71</v>
      </c>
      <c r="F31" s="8" t="s">
        <v>30</v>
      </c>
    </row>
    <row r="32" spans="2:7">
      <c r="B32" s="10" t="s">
        <v>47</v>
      </c>
      <c r="C32" s="24" t="s">
        <v>35</v>
      </c>
      <c r="D32" s="25"/>
      <c r="E32" s="26"/>
      <c r="F32" s="24" t="s">
        <v>11</v>
      </c>
    </row>
    <row r="33" spans="2:6">
      <c r="B33" s="3"/>
      <c r="D33" s="14"/>
    </row>
    <row r="34" spans="2:6" ht="14.4" customHeight="1">
      <c r="B34" s="4" t="s">
        <v>37</v>
      </c>
      <c r="C34" s="4" t="s">
        <v>38</v>
      </c>
      <c r="D34" s="6" t="s">
        <v>39</v>
      </c>
      <c r="E34" s="15"/>
      <c r="F34" s="16"/>
    </row>
    <row r="35" spans="2:6" ht="14.4" customHeight="1">
      <c r="B35" s="7" t="s">
        <v>47</v>
      </c>
      <c r="C35" s="8" t="s">
        <v>40</v>
      </c>
      <c r="D35" s="71">
        <v>2</v>
      </c>
    </row>
    <row r="36" spans="2:6" ht="14.4" customHeight="1">
      <c r="B36" s="7" t="s">
        <v>47</v>
      </c>
      <c r="C36" s="8" t="s">
        <v>41</v>
      </c>
      <c r="D36" s="71">
        <v>5</v>
      </c>
    </row>
    <row r="37" spans="2:6" ht="14.4" customHeight="1">
      <c r="B37" s="7" t="s">
        <v>47</v>
      </c>
      <c r="C37" s="8" t="s">
        <v>42</v>
      </c>
      <c r="D37" s="71">
        <v>3</v>
      </c>
    </row>
    <row r="38" spans="2:6" ht="14.4" customHeight="1">
      <c r="B38" s="7" t="s">
        <v>47</v>
      </c>
      <c r="C38" s="8" t="s">
        <v>43</v>
      </c>
      <c r="D38" s="71">
        <v>4</v>
      </c>
    </row>
    <row r="39" spans="2:6" ht="14.4" customHeight="1">
      <c r="B39" s="7" t="s">
        <v>47</v>
      </c>
      <c r="C39" s="8" t="s">
        <v>44</v>
      </c>
      <c r="D39" s="71">
        <v>3</v>
      </c>
    </row>
    <row r="40" spans="2:6" ht="14.4" customHeight="1">
      <c r="B40" s="7" t="s">
        <v>47</v>
      </c>
      <c r="C40" s="8" t="s">
        <v>45</v>
      </c>
      <c r="D40" s="71">
        <v>11</v>
      </c>
    </row>
    <row r="41" spans="2:6" ht="14.4" customHeight="1">
      <c r="B41" s="7" t="s">
        <v>47</v>
      </c>
      <c r="C41" s="8" t="s">
        <v>46</v>
      </c>
      <c r="D41" s="71">
        <v>10</v>
      </c>
    </row>
    <row r="42" spans="2:6">
      <c r="B42" s="3"/>
      <c r="D42" s="14"/>
    </row>
    <row r="43" spans="2:6" ht="14.4" customHeight="1">
      <c r="B43" s="4" t="s">
        <v>37</v>
      </c>
      <c r="C43" s="4" t="s">
        <v>3</v>
      </c>
      <c r="D43" s="5" t="s">
        <v>4</v>
      </c>
      <c r="E43" s="6" t="s">
        <v>5</v>
      </c>
      <c r="F43" s="4" t="s">
        <v>6</v>
      </c>
    </row>
    <row r="44" spans="2:6" ht="14.4" customHeight="1">
      <c r="B44" s="7" t="s">
        <v>72</v>
      </c>
      <c r="C44" s="27" t="s">
        <v>73</v>
      </c>
      <c r="D44" s="23" t="s">
        <v>74</v>
      </c>
      <c r="E44" s="28" t="s">
        <v>75</v>
      </c>
      <c r="F44" s="29" t="s">
        <v>51</v>
      </c>
    </row>
    <row r="45" spans="2:6" ht="14.4" customHeight="1">
      <c r="B45" s="7" t="s">
        <v>72</v>
      </c>
      <c r="C45" s="27" t="s">
        <v>76</v>
      </c>
      <c r="D45" s="23" t="s">
        <v>77</v>
      </c>
      <c r="E45" s="28" t="s">
        <v>78</v>
      </c>
      <c r="F45" s="17" t="s">
        <v>23</v>
      </c>
    </row>
    <row r="46" spans="2:6" ht="14.4" customHeight="1">
      <c r="B46" s="7" t="s">
        <v>72</v>
      </c>
      <c r="C46" s="27" t="s">
        <v>79</v>
      </c>
      <c r="D46" s="23" t="s">
        <v>80</v>
      </c>
      <c r="E46" s="28" t="s">
        <v>81</v>
      </c>
      <c r="F46" s="17" t="s">
        <v>23</v>
      </c>
    </row>
    <row r="47" spans="2:6" ht="14.4" customHeight="1">
      <c r="B47" s="7" t="s">
        <v>72</v>
      </c>
      <c r="C47" s="27" t="s">
        <v>82</v>
      </c>
      <c r="D47" s="23" t="s">
        <v>83</v>
      </c>
      <c r="E47" s="28" t="s">
        <v>84</v>
      </c>
      <c r="F47" s="8" t="s">
        <v>30</v>
      </c>
    </row>
    <row r="48" spans="2:6" ht="14.4" customHeight="1">
      <c r="B48" s="7"/>
      <c r="C48" s="27"/>
      <c r="D48" s="30"/>
      <c r="E48" s="28"/>
      <c r="F48" s="31"/>
    </row>
    <row r="49" spans="2:6" ht="14.4" customHeight="1">
      <c r="B49" s="7"/>
      <c r="C49" s="27"/>
      <c r="D49" s="30"/>
      <c r="E49" s="28"/>
      <c r="F49" s="31"/>
    </row>
    <row r="50" spans="2:6">
      <c r="B50" s="3"/>
      <c r="D50" s="14"/>
    </row>
    <row r="51" spans="2:6" ht="14.4" customHeight="1">
      <c r="B51" s="4" t="s">
        <v>37</v>
      </c>
      <c r="C51" s="4" t="s">
        <v>38</v>
      </c>
      <c r="D51" s="6" t="s">
        <v>39</v>
      </c>
    </row>
    <row r="52" spans="2:6" ht="14.4" customHeight="1">
      <c r="B52" s="7" t="s">
        <v>72</v>
      </c>
      <c r="C52" s="8" t="s">
        <v>40</v>
      </c>
      <c r="D52" s="71">
        <v>0</v>
      </c>
    </row>
    <row r="53" spans="2:6" ht="14.4" customHeight="1">
      <c r="B53" s="7" t="s">
        <v>72</v>
      </c>
      <c r="C53" s="8" t="s">
        <v>41</v>
      </c>
      <c r="D53" s="71">
        <v>2</v>
      </c>
    </row>
    <row r="54" spans="2:6" ht="14.4" customHeight="1">
      <c r="B54" s="7" t="s">
        <v>72</v>
      </c>
      <c r="C54" s="8" t="s">
        <v>42</v>
      </c>
      <c r="D54" s="71">
        <v>1</v>
      </c>
    </row>
    <row r="55" spans="2:6" ht="14.4" customHeight="1">
      <c r="B55" s="7" t="s">
        <v>72</v>
      </c>
      <c r="C55" s="8" t="s">
        <v>43</v>
      </c>
      <c r="D55" s="71">
        <v>2</v>
      </c>
    </row>
    <row r="56" spans="2:6" ht="14.4" customHeight="1">
      <c r="B56" s="7" t="s">
        <v>72</v>
      </c>
      <c r="C56" s="8" t="s">
        <v>44</v>
      </c>
      <c r="D56" s="71">
        <v>1</v>
      </c>
    </row>
    <row r="57" spans="2:6" ht="14.4" customHeight="1">
      <c r="B57" s="7" t="s">
        <v>72</v>
      </c>
      <c r="C57" s="8" t="s">
        <v>45</v>
      </c>
      <c r="D57" s="71">
        <v>5</v>
      </c>
    </row>
    <row r="58" spans="2:6" ht="14.4" customHeight="1">
      <c r="B58" s="7" t="s">
        <v>72</v>
      </c>
      <c r="C58" s="8" t="s">
        <v>46</v>
      </c>
      <c r="D58" s="71">
        <v>5</v>
      </c>
    </row>
    <row r="59" spans="2:6">
      <c r="B59" s="3"/>
      <c r="D59" s="14"/>
    </row>
    <row r="60" spans="2:6" ht="14.4" customHeight="1">
      <c r="B60" s="4" t="s">
        <v>37</v>
      </c>
      <c r="C60" s="4" t="s">
        <v>3</v>
      </c>
      <c r="D60" s="5" t="s">
        <v>4</v>
      </c>
      <c r="E60" s="6" t="s">
        <v>5</v>
      </c>
      <c r="F60" s="4" t="s">
        <v>6</v>
      </c>
    </row>
    <row r="61" spans="2:6">
      <c r="B61" s="7" t="s">
        <v>85</v>
      </c>
      <c r="C61" s="32" t="s">
        <v>86</v>
      </c>
      <c r="D61" s="33" t="s">
        <v>87</v>
      </c>
      <c r="E61" s="9" t="s">
        <v>88</v>
      </c>
      <c r="F61" s="34" t="s">
        <v>89</v>
      </c>
    </row>
    <row r="62" spans="2:6" ht="14.4" customHeight="1">
      <c r="B62" s="7" t="s">
        <v>85</v>
      </c>
      <c r="C62" s="35" t="s">
        <v>90</v>
      </c>
      <c r="D62" s="33" t="s">
        <v>91</v>
      </c>
      <c r="E62" s="36" t="s">
        <v>92</v>
      </c>
      <c r="F62" s="17" t="s">
        <v>23</v>
      </c>
    </row>
    <row r="63" spans="2:6" ht="14.4" customHeight="1">
      <c r="B63" s="7" t="s">
        <v>85</v>
      </c>
      <c r="C63" s="35" t="s">
        <v>93</v>
      </c>
      <c r="D63" s="33" t="s">
        <v>94</v>
      </c>
      <c r="E63" s="36" t="s">
        <v>95</v>
      </c>
      <c r="F63" s="17" t="s">
        <v>23</v>
      </c>
    </row>
    <row r="64" spans="2:6" ht="14.4" customHeight="1">
      <c r="B64" s="7" t="s">
        <v>85</v>
      </c>
      <c r="C64" s="35" t="s">
        <v>96</v>
      </c>
      <c r="D64" s="33" t="s">
        <v>97</v>
      </c>
      <c r="E64" s="36" t="s">
        <v>98</v>
      </c>
      <c r="F64" s="17" t="s">
        <v>11</v>
      </c>
    </row>
    <row r="65" spans="2:6" ht="14.4" customHeight="1">
      <c r="B65" s="36"/>
      <c r="C65" s="35"/>
      <c r="D65" s="37"/>
      <c r="E65" s="36"/>
      <c r="F65" s="36"/>
    </row>
    <row r="66" spans="2:6">
      <c r="B66" s="3"/>
      <c r="D66" s="14"/>
    </row>
    <row r="67" spans="2:6" ht="14.4" customHeight="1">
      <c r="B67" s="4" t="s">
        <v>37</v>
      </c>
      <c r="C67" s="4" t="s">
        <v>38</v>
      </c>
      <c r="D67" s="6" t="s">
        <v>39</v>
      </c>
    </row>
    <row r="68" spans="2:6" ht="14.4" customHeight="1">
      <c r="B68" s="7" t="s">
        <v>85</v>
      </c>
      <c r="C68" s="8" t="s">
        <v>40</v>
      </c>
      <c r="D68" s="71">
        <v>1</v>
      </c>
    </row>
    <row r="69" spans="2:6" ht="14.4" customHeight="1">
      <c r="B69" s="7" t="s">
        <v>85</v>
      </c>
      <c r="C69" s="8" t="s">
        <v>41</v>
      </c>
      <c r="D69" s="72">
        <v>1</v>
      </c>
    </row>
    <row r="70" spans="2:6" ht="14.4" customHeight="1">
      <c r="B70" s="7" t="s">
        <v>85</v>
      </c>
      <c r="C70" s="8" t="s">
        <v>42</v>
      </c>
      <c r="D70" s="71">
        <v>1</v>
      </c>
    </row>
    <row r="71" spans="2:6" ht="14.4" customHeight="1">
      <c r="B71" s="7" t="s">
        <v>85</v>
      </c>
      <c r="C71" s="8" t="s">
        <v>43</v>
      </c>
      <c r="D71" s="71">
        <v>2</v>
      </c>
    </row>
    <row r="72" spans="2:6" ht="14.4" customHeight="1">
      <c r="B72" s="7" t="s">
        <v>85</v>
      </c>
      <c r="C72" s="8" t="s">
        <v>44</v>
      </c>
      <c r="D72" s="71">
        <v>1</v>
      </c>
    </row>
    <row r="73" spans="2:6" ht="14.4" customHeight="1">
      <c r="B73" s="7" t="s">
        <v>85</v>
      </c>
      <c r="C73" s="8" t="s">
        <v>45</v>
      </c>
      <c r="D73" s="71">
        <v>5</v>
      </c>
    </row>
    <row r="74" spans="2:6" ht="14.4" customHeight="1">
      <c r="B74" s="7" t="s">
        <v>85</v>
      </c>
      <c r="C74" s="8" t="s">
        <v>46</v>
      </c>
      <c r="D74" s="71">
        <v>6</v>
      </c>
    </row>
    <row r="75" spans="2:6">
      <c r="B75" s="3"/>
      <c r="D75" s="14"/>
    </row>
  </sheetData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25" r:id="rId8"/>
    <hyperlink ref="D26" r:id="rId9"/>
    <hyperlink ref="D27" r:id="rId10"/>
    <hyperlink ref="D28" r:id="rId11"/>
    <hyperlink ref="D29" r:id="rId12"/>
    <hyperlink ref="D30" r:id="rId13"/>
    <hyperlink ref="D31" r:id="rId14"/>
    <hyperlink ref="D44" r:id="rId15"/>
    <hyperlink ref="D45" r:id="rId16"/>
    <hyperlink ref="D46" r:id="rId17"/>
    <hyperlink ref="D47" r:id="rId18"/>
    <hyperlink ref="D61" r:id="rId19"/>
    <hyperlink ref="D62" r:id="rId20"/>
    <hyperlink ref="D63" r:id="rId21"/>
    <hyperlink ref="D64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opLeftCell="G8" workbookViewId="0">
      <selection activeCell="P20" sqref="P20"/>
    </sheetView>
  </sheetViews>
  <sheetFormatPr baseColWidth="10" defaultColWidth="11.3984375" defaultRowHeight="13.8"/>
  <cols>
    <col min="1" max="1" width="10" bestFit="1" customWidth="1"/>
    <col min="2" max="2" width="15.59765625" bestFit="1" customWidth="1"/>
    <col min="3" max="3" width="34.296875" bestFit="1" customWidth="1"/>
    <col min="4" max="4" width="15" bestFit="1" customWidth="1"/>
    <col min="5" max="5" width="12.09765625" bestFit="1" customWidth="1"/>
    <col min="6" max="8" width="12.09765625" customWidth="1"/>
  </cols>
  <sheetData>
    <row r="1" spans="1:16" ht="14.4" customHeight="1">
      <c r="A1" s="38" t="s">
        <v>99</v>
      </c>
      <c r="B1" s="38" t="s">
        <v>100</v>
      </c>
      <c r="C1" s="39" t="s">
        <v>101</v>
      </c>
      <c r="D1" s="39" t="s">
        <v>102</v>
      </c>
      <c r="O1" s="45" t="s">
        <v>103</v>
      </c>
      <c r="P1" s="45" t="s">
        <v>104</v>
      </c>
    </row>
    <row r="2" spans="1:16" ht="29.4" customHeight="1">
      <c r="A2" s="40" t="s">
        <v>105</v>
      </c>
      <c r="B2" s="40" t="s">
        <v>103</v>
      </c>
      <c r="C2" s="41" t="s">
        <v>106</v>
      </c>
      <c r="D2" s="73">
        <v>1000000</v>
      </c>
      <c r="F2" s="43" t="s">
        <v>37</v>
      </c>
      <c r="G2" s="43" t="s">
        <v>107</v>
      </c>
      <c r="H2" s="80"/>
      <c r="I2" s="85" t="s">
        <v>108</v>
      </c>
      <c r="J2" s="60" t="s">
        <v>109</v>
      </c>
      <c r="K2" s="62" t="s">
        <v>110</v>
      </c>
      <c r="L2" s="61" t="s">
        <v>111</v>
      </c>
      <c r="M2" s="61" t="s">
        <v>112</v>
      </c>
      <c r="O2" s="63" t="s">
        <v>113</v>
      </c>
      <c r="P2" s="63" t="s">
        <v>114</v>
      </c>
    </row>
    <row r="3" spans="1:16" ht="14.4" customHeight="1">
      <c r="A3" s="40" t="s">
        <v>105</v>
      </c>
      <c r="B3" s="40" t="s">
        <v>115</v>
      </c>
      <c r="C3" s="41" t="s">
        <v>116</v>
      </c>
      <c r="D3" s="73">
        <v>950000</v>
      </c>
      <c r="F3" s="41" t="s">
        <v>117</v>
      </c>
      <c r="G3" s="75">
        <v>5000000</v>
      </c>
      <c r="H3" s="78"/>
      <c r="I3" s="86"/>
      <c r="J3" s="46" t="s">
        <v>118</v>
      </c>
      <c r="K3" s="47" t="s">
        <v>119</v>
      </c>
      <c r="L3" s="48">
        <v>0</v>
      </c>
      <c r="M3" s="49">
        <v>0.74999999900000003</v>
      </c>
      <c r="O3" s="50">
        <v>1.0999999999999999E-2</v>
      </c>
      <c r="P3" s="50">
        <v>1.0999999999999999E-2</v>
      </c>
    </row>
    <row r="4" spans="1:16" ht="14.4" customHeight="1">
      <c r="A4" s="40" t="s">
        <v>105</v>
      </c>
      <c r="B4" s="40" t="s">
        <v>104</v>
      </c>
      <c r="C4" s="41" t="s">
        <v>120</v>
      </c>
      <c r="D4" s="73">
        <v>900000</v>
      </c>
      <c r="F4" s="44" t="s">
        <v>121</v>
      </c>
      <c r="G4" s="75">
        <v>7000000</v>
      </c>
      <c r="H4" s="78"/>
      <c r="I4" s="86"/>
      <c r="J4" s="51" t="s">
        <v>122</v>
      </c>
      <c r="K4" s="52" t="s">
        <v>123</v>
      </c>
      <c r="L4" s="48">
        <v>0.75</v>
      </c>
      <c r="M4" s="49">
        <v>1.0999999899999999</v>
      </c>
      <c r="O4" s="53">
        <v>1.4999999999999999E-2</v>
      </c>
      <c r="P4" s="53">
        <v>1.3100000000000001E-2</v>
      </c>
    </row>
    <row r="5" spans="1:16" ht="14.4" customHeight="1">
      <c r="A5" s="40" t="s">
        <v>105</v>
      </c>
      <c r="B5" s="40" t="s">
        <v>103</v>
      </c>
      <c r="C5" s="41"/>
      <c r="D5" s="73">
        <v>0</v>
      </c>
      <c r="F5" s="44" t="s">
        <v>124</v>
      </c>
      <c r="G5" s="75">
        <v>2100000</v>
      </c>
      <c r="H5" s="78"/>
      <c r="I5" s="86"/>
      <c r="J5" s="54" t="s">
        <v>125</v>
      </c>
      <c r="K5" s="52" t="s">
        <v>126</v>
      </c>
      <c r="L5" s="48">
        <v>1.1000000000000001</v>
      </c>
      <c r="M5" s="49">
        <v>1.1999999990000001</v>
      </c>
      <c r="O5" s="55">
        <v>1.6500000000000001E-2</v>
      </c>
      <c r="P5" s="55">
        <v>1.46E-2</v>
      </c>
    </row>
    <row r="6" spans="1:16" ht="14.4" customHeight="1">
      <c r="A6" s="40" t="s">
        <v>105</v>
      </c>
      <c r="B6" s="40" t="s">
        <v>104</v>
      </c>
      <c r="C6" s="41" t="s">
        <v>127</v>
      </c>
      <c r="D6" s="73">
        <v>900000</v>
      </c>
      <c r="F6" s="41" t="s">
        <v>128</v>
      </c>
      <c r="G6" s="73">
        <v>2100000</v>
      </c>
      <c r="H6" s="79"/>
      <c r="I6" s="86"/>
      <c r="J6" s="56" t="s">
        <v>129</v>
      </c>
      <c r="K6" s="52" t="s">
        <v>130</v>
      </c>
      <c r="L6" s="48">
        <v>1.2</v>
      </c>
      <c r="M6" s="9" t="s">
        <v>131</v>
      </c>
      <c r="O6" s="57">
        <v>1.7500000000000002E-2</v>
      </c>
      <c r="P6" s="57">
        <v>1.5599999999999999E-2</v>
      </c>
    </row>
    <row r="7" spans="1:16" ht="14.4" customHeight="1">
      <c r="A7" s="40" t="s">
        <v>105</v>
      </c>
      <c r="B7" s="40" t="s">
        <v>103</v>
      </c>
      <c r="C7" s="41" t="s">
        <v>132</v>
      </c>
      <c r="D7" s="73">
        <v>1000000</v>
      </c>
      <c r="F7" s="42" t="s">
        <v>133</v>
      </c>
      <c r="G7" s="76">
        <v>16200000</v>
      </c>
      <c r="H7" s="76"/>
    </row>
    <row r="8" spans="1:16" ht="26.4" customHeight="1">
      <c r="A8" s="40" t="s">
        <v>134</v>
      </c>
      <c r="B8" s="40" t="s">
        <v>104</v>
      </c>
      <c r="C8" s="41" t="s">
        <v>135</v>
      </c>
      <c r="D8" s="73">
        <v>1200000</v>
      </c>
      <c r="I8" s="85" t="s">
        <v>136</v>
      </c>
      <c r="J8" s="60" t="s">
        <v>109</v>
      </c>
      <c r="K8" s="61" t="s">
        <v>137</v>
      </c>
      <c r="L8" s="64" t="s">
        <v>138</v>
      </c>
      <c r="M8" s="64" t="s">
        <v>139</v>
      </c>
      <c r="O8" s="62" t="s">
        <v>140</v>
      </c>
      <c r="P8" s="62" t="s">
        <v>141</v>
      </c>
    </row>
    <row r="9" spans="1:16" ht="14.4" customHeight="1">
      <c r="A9" s="40" t="s">
        <v>134</v>
      </c>
      <c r="B9" s="40" t="s">
        <v>103</v>
      </c>
      <c r="C9" s="41" t="s">
        <v>142</v>
      </c>
      <c r="D9" s="73">
        <v>2000000</v>
      </c>
      <c r="I9" s="86"/>
      <c r="J9" s="46" t="s">
        <v>118</v>
      </c>
      <c r="K9" s="47">
        <v>0</v>
      </c>
      <c r="L9" s="48">
        <v>0</v>
      </c>
      <c r="M9" s="49">
        <v>1.0999999899999999</v>
      </c>
      <c r="O9" s="50">
        <v>0</v>
      </c>
      <c r="P9" s="50">
        <v>0</v>
      </c>
    </row>
    <row r="10" spans="1:16" ht="14.4" customHeight="1">
      <c r="A10" s="40" t="s">
        <v>134</v>
      </c>
      <c r="B10" s="40" t="s">
        <v>103</v>
      </c>
      <c r="C10" s="41" t="s">
        <v>143</v>
      </c>
      <c r="D10" s="73">
        <v>950000</v>
      </c>
      <c r="I10" s="86"/>
      <c r="J10" s="51" t="s">
        <v>122</v>
      </c>
      <c r="K10" s="9" t="s">
        <v>126</v>
      </c>
      <c r="L10" s="48">
        <v>1.1000000000000001</v>
      </c>
      <c r="M10" s="49">
        <v>1.19999999</v>
      </c>
      <c r="O10" s="53">
        <v>1.5E-3</v>
      </c>
      <c r="P10" s="53">
        <v>3.3999999999999998E-3</v>
      </c>
    </row>
    <row r="11" spans="1:16" ht="14.4" customHeight="1">
      <c r="A11" s="40" t="s">
        <v>134</v>
      </c>
      <c r="B11" s="40" t="s">
        <v>103</v>
      </c>
      <c r="C11" s="41" t="s">
        <v>144</v>
      </c>
      <c r="D11" s="73">
        <v>1000000</v>
      </c>
      <c r="I11" s="86"/>
      <c r="J11" s="54" t="s">
        <v>125</v>
      </c>
      <c r="K11" s="9" t="s">
        <v>145</v>
      </c>
      <c r="L11" s="48">
        <v>1.2</v>
      </c>
      <c r="M11" s="49">
        <v>1.3333333000000001</v>
      </c>
      <c r="O11" s="55">
        <v>3.0000000000000001E-3</v>
      </c>
      <c r="P11" s="55">
        <v>4.8999999999999998E-3</v>
      </c>
    </row>
    <row r="12" spans="1:16" ht="14.4" customHeight="1">
      <c r="A12" s="40" t="s">
        <v>146</v>
      </c>
      <c r="B12" s="40" t="s">
        <v>147</v>
      </c>
      <c r="C12" s="41" t="s">
        <v>148</v>
      </c>
      <c r="D12" s="73"/>
      <c r="I12" s="86"/>
      <c r="J12" s="56" t="s">
        <v>129</v>
      </c>
      <c r="K12" s="9" t="s">
        <v>149</v>
      </c>
      <c r="L12" s="48">
        <v>1.3333333999999999</v>
      </c>
      <c r="M12" s="49">
        <v>1.5</v>
      </c>
      <c r="O12" s="57">
        <v>5.0000000000000001E-3</v>
      </c>
      <c r="P12" s="57">
        <v>6.8999999999999999E-3</v>
      </c>
    </row>
    <row r="13" spans="1:16" ht="14.4" customHeight="1">
      <c r="A13" s="40" t="s">
        <v>134</v>
      </c>
      <c r="B13" s="40" t="s">
        <v>150</v>
      </c>
      <c r="C13" s="41" t="s">
        <v>151</v>
      </c>
      <c r="D13" s="73">
        <v>1000000</v>
      </c>
      <c r="J13" s="58" t="s">
        <v>152</v>
      </c>
      <c r="K13" s="9" t="s">
        <v>153</v>
      </c>
      <c r="L13" s="48">
        <v>1.5</v>
      </c>
      <c r="M13" s="49">
        <v>1.6</v>
      </c>
    </row>
    <row r="14" spans="1:16" ht="14.4" customHeight="1">
      <c r="A14" s="40" t="s">
        <v>134</v>
      </c>
      <c r="B14" s="40" t="s">
        <v>154</v>
      </c>
      <c r="C14" s="41" t="s">
        <v>155</v>
      </c>
      <c r="D14" s="73">
        <v>2200000</v>
      </c>
      <c r="J14" s="59" t="s">
        <v>156</v>
      </c>
      <c r="K14" s="9" t="s">
        <v>157</v>
      </c>
      <c r="L14" s="48">
        <v>1.6</v>
      </c>
      <c r="M14" s="49">
        <v>1.7</v>
      </c>
    </row>
    <row r="15" spans="1:16" ht="15" customHeight="1" thickBot="1">
      <c r="A15" s="40" t="s">
        <v>158</v>
      </c>
      <c r="B15" s="40" t="s">
        <v>103</v>
      </c>
      <c r="C15" s="41" t="s">
        <v>159</v>
      </c>
      <c r="D15" s="73">
        <v>1050000</v>
      </c>
      <c r="O15" s="45" t="s">
        <v>103</v>
      </c>
      <c r="P15" s="45" t="s">
        <v>104</v>
      </c>
    </row>
    <row r="16" spans="1:16" ht="43.2" customHeight="1" thickBot="1">
      <c r="A16" s="40" t="s">
        <v>158</v>
      </c>
      <c r="B16" s="40" t="s">
        <v>103</v>
      </c>
      <c r="C16" s="41" t="s">
        <v>160</v>
      </c>
      <c r="D16" s="73">
        <v>1050000</v>
      </c>
      <c r="M16" s="87" t="s">
        <v>161</v>
      </c>
      <c r="O16" s="62" t="s">
        <v>162</v>
      </c>
      <c r="P16" s="62" t="s">
        <v>163</v>
      </c>
    </row>
    <row r="17" spans="1:16" ht="14.4" customHeight="1">
      <c r="A17" s="40" t="s">
        <v>158</v>
      </c>
      <c r="B17" s="40" t="s">
        <v>154</v>
      </c>
      <c r="C17" s="41" t="s">
        <v>164</v>
      </c>
      <c r="D17" s="73"/>
      <c r="M17" s="88"/>
      <c r="O17" s="50">
        <v>1.0999999999999999E-2</v>
      </c>
      <c r="P17" s="50">
        <v>1.0999999999999999E-2</v>
      </c>
    </row>
    <row r="18" spans="1:16" ht="14.4" customHeight="1">
      <c r="A18" s="40" t="s">
        <v>165</v>
      </c>
      <c r="B18" s="40" t="s">
        <v>103</v>
      </c>
      <c r="C18" s="41" t="s">
        <v>166</v>
      </c>
      <c r="D18" s="73">
        <v>600000</v>
      </c>
      <c r="M18" s="88"/>
      <c r="O18" s="53">
        <v>1.6500000000000001E-2</v>
      </c>
      <c r="P18" s="53">
        <v>1.6500000000000001E-2</v>
      </c>
    </row>
    <row r="19" spans="1:16" ht="14.4" customHeight="1">
      <c r="A19" s="40" t="s">
        <v>165</v>
      </c>
      <c r="B19" s="40" t="s">
        <v>103</v>
      </c>
      <c r="C19" s="41" t="s">
        <v>167</v>
      </c>
      <c r="D19" s="73">
        <v>600000</v>
      </c>
      <c r="M19" s="88"/>
      <c r="O19" s="55">
        <v>1.95E-2</v>
      </c>
      <c r="P19" s="55">
        <v>1.95E-2</v>
      </c>
    </row>
    <row r="20" spans="1:16" ht="15" customHeight="1" thickBot="1">
      <c r="A20" s="40" t="s">
        <v>165</v>
      </c>
      <c r="B20" s="40" t="s">
        <v>103</v>
      </c>
      <c r="C20" s="41" t="s">
        <v>168</v>
      </c>
      <c r="D20" s="73">
        <v>600000</v>
      </c>
      <c r="M20" s="89"/>
      <c r="O20" s="57">
        <v>2.2499999999999999E-2</v>
      </c>
      <c r="P20" s="57">
        <v>2.2499999999999999E-2</v>
      </c>
    </row>
    <row r="21" spans="1:16" ht="14.4" customHeight="1">
      <c r="A21" s="40" t="s">
        <v>165</v>
      </c>
      <c r="B21" s="40" t="s">
        <v>169</v>
      </c>
      <c r="C21" s="41" t="s">
        <v>170</v>
      </c>
      <c r="D21" s="73"/>
    </row>
    <row r="22" spans="1:16" ht="14.4" customHeight="1">
      <c r="A22" s="42"/>
      <c r="B22" s="42"/>
      <c r="C22" s="42"/>
      <c r="D22" s="74"/>
    </row>
    <row r="23" spans="1:16" ht="14.4" customHeight="1">
      <c r="A23" s="42"/>
      <c r="B23" s="42"/>
    </row>
    <row r="24" spans="1:16" ht="14.4" customHeight="1">
      <c r="A24" s="42"/>
      <c r="B24" s="42"/>
      <c r="F24" s="77"/>
      <c r="G24" s="77"/>
      <c r="H24" s="77"/>
    </row>
    <row r="25" spans="1:16" ht="14.4" customHeight="1">
      <c r="A25" s="42"/>
      <c r="B25" s="42"/>
      <c r="F25" s="77"/>
      <c r="G25" s="77"/>
      <c r="H25" s="77"/>
    </row>
    <row r="26" spans="1:16" ht="14.4" customHeight="1">
      <c r="A26" s="42"/>
      <c r="B26" s="42"/>
      <c r="F26" s="77"/>
      <c r="G26" s="77"/>
      <c r="H26" s="77"/>
    </row>
    <row r="27" spans="1:16" ht="14.4" customHeight="1">
      <c r="A27" s="42"/>
      <c r="B27" s="42"/>
      <c r="F27" s="77"/>
      <c r="G27" s="77"/>
      <c r="H27" s="77"/>
    </row>
    <row r="28" spans="1:16" ht="14.4" customHeight="1">
      <c r="A28" s="42"/>
      <c r="B28" s="42"/>
      <c r="F28" s="77"/>
      <c r="G28" s="77"/>
      <c r="H28" s="77"/>
    </row>
  </sheetData>
  <mergeCells count="3">
    <mergeCell ref="I8:I12"/>
    <mergeCell ref="M16:M20"/>
    <mergeCell ref="I2:I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workbookViewId="0">
      <selection activeCell="A15" sqref="A15"/>
    </sheetView>
  </sheetViews>
  <sheetFormatPr baseColWidth="10" defaultColWidth="11.3984375" defaultRowHeight="13.8"/>
  <cols>
    <col min="1" max="1" width="49.8984375" style="69" bestFit="1" customWidth="1"/>
    <col min="2" max="2" width="26.09765625" style="69" bestFit="1" customWidth="1"/>
  </cols>
  <sheetData>
    <row r="1" spans="1:2">
      <c r="A1" s="65" t="s">
        <v>171</v>
      </c>
      <c r="B1" s="65" t="s">
        <v>172</v>
      </c>
    </row>
    <row r="2" spans="1:2">
      <c r="A2" s="66" t="s">
        <v>173</v>
      </c>
      <c r="B2" s="81" t="s">
        <v>155</v>
      </c>
    </row>
    <row r="3" spans="1:2">
      <c r="A3" s="67" t="s">
        <v>174</v>
      </c>
      <c r="B3" s="81" t="s">
        <v>106</v>
      </c>
    </row>
    <row r="4" spans="1:2">
      <c r="A4" s="66" t="s">
        <v>175</v>
      </c>
      <c r="B4" s="81" t="s">
        <v>144</v>
      </c>
    </row>
    <row r="5" spans="1:2">
      <c r="A5" s="66" t="s">
        <v>176</v>
      </c>
      <c r="B5" s="81" t="s">
        <v>132</v>
      </c>
    </row>
    <row r="6" spans="1:2">
      <c r="A6" s="67" t="s">
        <v>177</v>
      </c>
      <c r="B6" s="81" t="s">
        <v>106</v>
      </c>
    </row>
    <row r="7" spans="1:2">
      <c r="A7" s="66" t="s">
        <v>178</v>
      </c>
      <c r="B7" s="81" t="s">
        <v>142</v>
      </c>
    </row>
    <row r="8" spans="1:2">
      <c r="A8" s="66" t="s">
        <v>179</v>
      </c>
      <c r="B8" s="81" t="s">
        <v>132</v>
      </c>
    </row>
    <row r="9" spans="1:2">
      <c r="A9" s="67" t="s">
        <v>180</v>
      </c>
      <c r="B9" s="81" t="s">
        <v>142</v>
      </c>
    </row>
    <row r="10" spans="1:2">
      <c r="A10" s="66" t="s">
        <v>181</v>
      </c>
      <c r="B10" s="81" t="s">
        <v>142</v>
      </c>
    </row>
    <row r="11" spans="1:2">
      <c r="A11" s="67" t="s">
        <v>182</v>
      </c>
      <c r="B11" s="81" t="s">
        <v>106</v>
      </c>
    </row>
    <row r="12" spans="1:2">
      <c r="A12" s="67" t="s">
        <v>183</v>
      </c>
      <c r="B12" s="81" t="s">
        <v>167</v>
      </c>
    </row>
    <row r="13" spans="1:2">
      <c r="A13" s="67" t="s">
        <v>184</v>
      </c>
      <c r="B13" s="81" t="s">
        <v>142</v>
      </c>
    </row>
    <row r="14" spans="1:2">
      <c r="A14" s="67" t="s">
        <v>185</v>
      </c>
      <c r="B14" s="81" t="s">
        <v>116</v>
      </c>
    </row>
    <row r="15" spans="1:2">
      <c r="A15" s="66" t="s">
        <v>186</v>
      </c>
      <c r="B15" s="81" t="s">
        <v>142</v>
      </c>
    </row>
    <row r="16" spans="1:2">
      <c r="A16" s="66" t="s">
        <v>187</v>
      </c>
      <c r="B16" s="81" t="s">
        <v>132</v>
      </c>
    </row>
    <row r="17" spans="1:2">
      <c r="A17" s="67" t="s">
        <v>188</v>
      </c>
      <c r="B17" s="81" t="s">
        <v>144</v>
      </c>
    </row>
    <row r="18" spans="1:2">
      <c r="A18" s="67" t="s">
        <v>189</v>
      </c>
      <c r="B18" s="81" t="s">
        <v>168</v>
      </c>
    </row>
    <row r="19" spans="1:2">
      <c r="A19" s="67" t="s">
        <v>190</v>
      </c>
      <c r="B19" s="81" t="s">
        <v>160</v>
      </c>
    </row>
    <row r="20" spans="1:2">
      <c r="A20" s="67" t="s">
        <v>191</v>
      </c>
      <c r="B20" s="81" t="s">
        <v>127</v>
      </c>
    </row>
    <row r="21" spans="1:2">
      <c r="A21" s="67" t="s">
        <v>192</v>
      </c>
      <c r="B21" s="81" t="s">
        <v>159</v>
      </c>
    </row>
    <row r="22" spans="1:2">
      <c r="A22" s="67" t="s">
        <v>193</v>
      </c>
      <c r="B22" s="81" t="s">
        <v>168</v>
      </c>
    </row>
    <row r="23" spans="1:2">
      <c r="A23" s="67" t="s">
        <v>194</v>
      </c>
      <c r="B23" s="81" t="s">
        <v>106</v>
      </c>
    </row>
    <row r="24" spans="1:2">
      <c r="A24" s="67" t="s">
        <v>195</v>
      </c>
      <c r="B24" s="81" t="s">
        <v>168</v>
      </c>
    </row>
    <row r="25" spans="1:2">
      <c r="A25" s="67" t="s">
        <v>196</v>
      </c>
      <c r="B25" s="81" t="s">
        <v>142</v>
      </c>
    </row>
    <row r="26" spans="1:2">
      <c r="A26" s="67" t="s">
        <v>197</v>
      </c>
      <c r="B26" s="81" t="s">
        <v>142</v>
      </c>
    </row>
    <row r="27" spans="1:2">
      <c r="A27" s="67" t="s">
        <v>198</v>
      </c>
      <c r="B27" s="81" t="s">
        <v>116</v>
      </c>
    </row>
    <row r="28" spans="1:2">
      <c r="A28" s="67" t="s">
        <v>199</v>
      </c>
      <c r="B28" s="81" t="s">
        <v>200</v>
      </c>
    </row>
    <row r="29" spans="1:2">
      <c r="A29" s="67" t="s">
        <v>201</v>
      </c>
      <c r="B29" s="81" t="s">
        <v>144</v>
      </c>
    </row>
    <row r="30" spans="1:2">
      <c r="A30" s="66" t="s">
        <v>202</v>
      </c>
      <c r="B30" s="81" t="s">
        <v>142</v>
      </c>
    </row>
    <row r="31" spans="1:2">
      <c r="A31" s="67" t="s">
        <v>203</v>
      </c>
      <c r="B31" s="81" t="s">
        <v>144</v>
      </c>
    </row>
    <row r="32" spans="1:2">
      <c r="A32" s="67" t="s">
        <v>204</v>
      </c>
      <c r="B32" s="81" t="s">
        <v>106</v>
      </c>
    </row>
    <row r="33" spans="1:2">
      <c r="A33" s="66" t="s">
        <v>205</v>
      </c>
      <c r="B33" s="81" t="s">
        <v>116</v>
      </c>
    </row>
    <row r="34" spans="1:2">
      <c r="A34" s="67" t="s">
        <v>206</v>
      </c>
      <c r="B34" s="81" t="s">
        <v>166</v>
      </c>
    </row>
    <row r="35" spans="1:2">
      <c r="A35" s="67" t="s">
        <v>207</v>
      </c>
      <c r="B35" s="81" t="s">
        <v>160</v>
      </c>
    </row>
    <row r="36" spans="1:2">
      <c r="A36" s="67" t="s">
        <v>208</v>
      </c>
      <c r="B36" s="81" t="s">
        <v>142</v>
      </c>
    </row>
    <row r="37" spans="1:2">
      <c r="A37" s="67" t="s">
        <v>209</v>
      </c>
      <c r="B37" s="81" t="s">
        <v>127</v>
      </c>
    </row>
    <row r="38" spans="1:2">
      <c r="A38" s="67" t="s">
        <v>210</v>
      </c>
      <c r="B38" s="81" t="s">
        <v>160</v>
      </c>
    </row>
    <row r="39" spans="1:2">
      <c r="A39" s="67" t="s">
        <v>211</v>
      </c>
      <c r="B39" s="81" t="s">
        <v>160</v>
      </c>
    </row>
    <row r="40" spans="1:2">
      <c r="A40" s="67" t="s">
        <v>212</v>
      </c>
      <c r="B40" s="81" t="s">
        <v>142</v>
      </c>
    </row>
    <row r="41" spans="1:2">
      <c r="A41" s="67" t="s">
        <v>213</v>
      </c>
      <c r="B41" s="81" t="s">
        <v>127</v>
      </c>
    </row>
    <row r="42" spans="1:2">
      <c r="A42" s="67" t="s">
        <v>214</v>
      </c>
      <c r="B42" s="81" t="s">
        <v>142</v>
      </c>
    </row>
    <row r="43" spans="1:2">
      <c r="A43" s="67" t="s">
        <v>215</v>
      </c>
      <c r="B43" s="81" t="s">
        <v>106</v>
      </c>
    </row>
    <row r="44" spans="1:2">
      <c r="A44" s="67" t="s">
        <v>216</v>
      </c>
      <c r="B44" s="81" t="s">
        <v>116</v>
      </c>
    </row>
    <row r="45" spans="1:2">
      <c r="A45" s="66" t="s">
        <v>217</v>
      </c>
      <c r="B45" s="81" t="s">
        <v>142</v>
      </c>
    </row>
    <row r="46" spans="1:2">
      <c r="A46" s="67" t="s">
        <v>218</v>
      </c>
      <c r="B46" s="81" t="s">
        <v>142</v>
      </c>
    </row>
    <row r="47" spans="1:2">
      <c r="A47" s="67" t="s">
        <v>219</v>
      </c>
      <c r="B47" s="81" t="s">
        <v>142</v>
      </c>
    </row>
    <row r="48" spans="1:2">
      <c r="A48" s="67" t="s">
        <v>220</v>
      </c>
      <c r="B48" s="81" t="s">
        <v>142</v>
      </c>
    </row>
    <row r="49" spans="1:2">
      <c r="A49" s="67" t="s">
        <v>221</v>
      </c>
      <c r="B49" s="81" t="s">
        <v>142</v>
      </c>
    </row>
    <row r="50" spans="1:2">
      <c r="A50" s="67" t="s">
        <v>222</v>
      </c>
      <c r="B50" s="81" t="s">
        <v>167</v>
      </c>
    </row>
    <row r="51" spans="1:2">
      <c r="A51" s="67" t="s">
        <v>223</v>
      </c>
      <c r="B51" s="81" t="s">
        <v>142</v>
      </c>
    </row>
    <row r="52" spans="1:2">
      <c r="A52" s="67" t="s">
        <v>224</v>
      </c>
      <c r="B52" s="81" t="s">
        <v>142</v>
      </c>
    </row>
    <row r="53" spans="1:2">
      <c r="A53" s="67" t="s">
        <v>225</v>
      </c>
      <c r="B53" s="81" t="s">
        <v>159</v>
      </c>
    </row>
    <row r="54" spans="1:2">
      <c r="A54" s="66" t="s">
        <v>226</v>
      </c>
      <c r="B54" s="81" t="s">
        <v>166</v>
      </c>
    </row>
    <row r="55" spans="1:2">
      <c r="A55" s="67" t="s">
        <v>227</v>
      </c>
      <c r="B55" s="81" t="s">
        <v>142</v>
      </c>
    </row>
    <row r="56" spans="1:2">
      <c r="A56" s="67" t="s">
        <v>228</v>
      </c>
      <c r="B56" s="81" t="s">
        <v>116</v>
      </c>
    </row>
    <row r="57" spans="1:2">
      <c r="A57" s="66" t="s">
        <v>229</v>
      </c>
      <c r="B57" s="81" t="s">
        <v>142</v>
      </c>
    </row>
    <row r="58" spans="1:2">
      <c r="A58" s="67" t="s">
        <v>230</v>
      </c>
      <c r="B58" s="81" t="s">
        <v>116</v>
      </c>
    </row>
    <row r="59" spans="1:2">
      <c r="A59" s="67" t="s">
        <v>231</v>
      </c>
      <c r="B59" s="81" t="s">
        <v>142</v>
      </c>
    </row>
    <row r="60" spans="1:2">
      <c r="A60" s="67" t="s">
        <v>232</v>
      </c>
      <c r="B60" s="81" t="s">
        <v>144</v>
      </c>
    </row>
    <row r="61" spans="1:2">
      <c r="A61" s="67" t="s">
        <v>233</v>
      </c>
      <c r="B61" s="81" t="s">
        <v>160</v>
      </c>
    </row>
    <row r="62" spans="1:2">
      <c r="A62" s="67" t="s">
        <v>234</v>
      </c>
      <c r="B62" s="81" t="s">
        <v>132</v>
      </c>
    </row>
    <row r="63" spans="1:2">
      <c r="A63" s="67" t="s">
        <v>235</v>
      </c>
      <c r="B63" s="81" t="s">
        <v>160</v>
      </c>
    </row>
    <row r="64" spans="1:2">
      <c r="A64" s="67" t="s">
        <v>236</v>
      </c>
      <c r="B64" s="81" t="s">
        <v>159</v>
      </c>
    </row>
    <row r="65" spans="1:2">
      <c r="A65" s="67" t="s">
        <v>237</v>
      </c>
      <c r="B65" s="81" t="s">
        <v>160</v>
      </c>
    </row>
    <row r="66" spans="1:2">
      <c r="A66" s="67" t="s">
        <v>238</v>
      </c>
      <c r="B66" s="81" t="s">
        <v>144</v>
      </c>
    </row>
    <row r="67" spans="1:2">
      <c r="A67" s="68" t="s">
        <v>239</v>
      </c>
      <c r="B67" s="81" t="s">
        <v>166</v>
      </c>
    </row>
    <row r="68" spans="1:2">
      <c r="A68" s="68" t="s">
        <v>240</v>
      </c>
      <c r="B68" s="81" t="s">
        <v>159</v>
      </c>
    </row>
    <row r="69" spans="1:2">
      <c r="A69" s="67" t="s">
        <v>241</v>
      </c>
      <c r="B69" s="81" t="s">
        <v>116</v>
      </c>
    </row>
    <row r="70" spans="1:2">
      <c r="A70" s="67" t="s">
        <v>242</v>
      </c>
      <c r="B70" s="81" t="s">
        <v>159</v>
      </c>
    </row>
    <row r="71" spans="1:2">
      <c r="A71" s="67" t="s">
        <v>243</v>
      </c>
      <c r="B71" s="81" t="s">
        <v>144</v>
      </c>
    </row>
    <row r="72" spans="1:2">
      <c r="A72" s="67" t="s">
        <v>244</v>
      </c>
      <c r="B72" s="81" t="s">
        <v>116</v>
      </c>
    </row>
    <row r="73" spans="1:2">
      <c r="A73" s="67" t="s">
        <v>245</v>
      </c>
      <c r="B73" s="81" t="s">
        <v>166</v>
      </c>
    </row>
    <row r="74" spans="1:2">
      <c r="A74" s="67" t="s">
        <v>246</v>
      </c>
      <c r="B74" s="81" t="s">
        <v>127</v>
      </c>
    </row>
    <row r="75" spans="1:2">
      <c r="A75" s="67" t="s">
        <v>247</v>
      </c>
      <c r="B75" s="81" t="s">
        <v>116</v>
      </c>
    </row>
    <row r="76" spans="1:2">
      <c r="A76" s="67" t="s">
        <v>248</v>
      </c>
      <c r="B76" s="81" t="s">
        <v>142</v>
      </c>
    </row>
    <row r="77" spans="1:2">
      <c r="A77" s="67" t="s">
        <v>249</v>
      </c>
      <c r="B77" s="81" t="s">
        <v>132</v>
      </c>
    </row>
    <row r="78" spans="1:2">
      <c r="A78" s="67" t="s">
        <v>250</v>
      </c>
      <c r="B78" s="81" t="s">
        <v>166</v>
      </c>
    </row>
    <row r="79" spans="1:2">
      <c r="A79" s="67" t="s">
        <v>251</v>
      </c>
      <c r="B79" s="81" t="s">
        <v>116</v>
      </c>
    </row>
    <row r="80" spans="1:2">
      <c r="A80" s="67" t="s">
        <v>252</v>
      </c>
      <c r="B80" s="81" t="s">
        <v>142</v>
      </c>
    </row>
    <row r="81" spans="1:2">
      <c r="A81" s="67" t="s">
        <v>253</v>
      </c>
      <c r="B81" s="81" t="s">
        <v>166</v>
      </c>
    </row>
    <row r="82" spans="1:2">
      <c r="A82" s="68" t="s">
        <v>254</v>
      </c>
      <c r="B82" s="81" t="s">
        <v>159</v>
      </c>
    </row>
    <row r="83" spans="1:2">
      <c r="A83" s="67" t="s">
        <v>255</v>
      </c>
      <c r="B83" s="81" t="s">
        <v>144</v>
      </c>
    </row>
    <row r="84" spans="1:2">
      <c r="A84" s="67" t="s">
        <v>256</v>
      </c>
      <c r="B84" s="81" t="s">
        <v>142</v>
      </c>
    </row>
    <row r="85" spans="1:2">
      <c r="A85" s="67" t="s">
        <v>257</v>
      </c>
      <c r="B85" s="81" t="s">
        <v>159</v>
      </c>
    </row>
    <row r="86" spans="1:2">
      <c r="A86" s="67" t="s">
        <v>258</v>
      </c>
      <c r="B86" s="81" t="s">
        <v>127</v>
      </c>
    </row>
    <row r="87" spans="1:2">
      <c r="A87" s="67" t="s">
        <v>259</v>
      </c>
      <c r="B87" s="81" t="s">
        <v>159</v>
      </c>
    </row>
    <row r="88" spans="1:2">
      <c r="A88" s="67" t="s">
        <v>260</v>
      </c>
      <c r="B88" s="81" t="s">
        <v>159</v>
      </c>
    </row>
    <row r="89" spans="1:2">
      <c r="A89" s="67" t="s">
        <v>261</v>
      </c>
      <c r="B89" s="81" t="s">
        <v>127</v>
      </c>
    </row>
    <row r="90" spans="1:2">
      <c r="A90" s="67" t="s">
        <v>262</v>
      </c>
      <c r="B90" s="81" t="s">
        <v>116</v>
      </c>
    </row>
    <row r="91" spans="1:2">
      <c r="A91" s="67" t="s">
        <v>263</v>
      </c>
      <c r="B91" s="81" t="s">
        <v>166</v>
      </c>
    </row>
    <row r="92" spans="1:2">
      <c r="A92" s="67" t="s">
        <v>264</v>
      </c>
      <c r="B92" s="81" t="s">
        <v>160</v>
      </c>
    </row>
    <row r="93" spans="1:2">
      <c r="A93" s="67" t="s">
        <v>265</v>
      </c>
      <c r="B93" s="81" t="s">
        <v>155</v>
      </c>
    </row>
    <row r="94" spans="1:2">
      <c r="A94" s="67" t="s">
        <v>266</v>
      </c>
      <c r="B94" s="81" t="s">
        <v>127</v>
      </c>
    </row>
  </sheetData>
  <autoFilter ref="A1:B94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opLeftCell="A11" workbookViewId="0">
      <selection activeCell="B26" sqref="B26"/>
    </sheetView>
  </sheetViews>
  <sheetFormatPr baseColWidth="10" defaultColWidth="11.3984375" defaultRowHeight="13.8"/>
  <cols>
    <col min="1" max="1" width="30.8984375" bestFit="1" customWidth="1"/>
  </cols>
  <sheetData>
    <row r="1" spans="1:1" ht="14.4">
      <c r="A1" s="42" t="s">
        <v>106</v>
      </c>
    </row>
    <row r="2" spans="1:1" ht="14.4">
      <c r="A2" s="42" t="s">
        <v>116</v>
      </c>
    </row>
    <row r="3" spans="1:1" ht="14.4">
      <c r="A3" s="42" t="s">
        <v>120</v>
      </c>
    </row>
    <row r="4" spans="1:1" ht="14.4">
      <c r="A4" s="42" t="s">
        <v>127</v>
      </c>
    </row>
    <row r="5" spans="1:1" ht="14.4">
      <c r="A5" s="42" t="s">
        <v>132</v>
      </c>
    </row>
    <row r="6" spans="1:1" ht="14.4">
      <c r="A6" s="42" t="s">
        <v>135</v>
      </c>
    </row>
    <row r="7" spans="1:1" ht="14.4">
      <c r="A7" s="42" t="s">
        <v>267</v>
      </c>
    </row>
    <row r="8" spans="1:1" ht="14.4">
      <c r="A8" s="42" t="s">
        <v>143</v>
      </c>
    </row>
    <row r="9" spans="1:1" ht="14.4">
      <c r="A9" s="42" t="s">
        <v>144</v>
      </c>
    </row>
    <row r="10" spans="1:1" ht="14.4">
      <c r="A10" s="42" t="s">
        <v>151</v>
      </c>
    </row>
    <row r="11" spans="1:1" ht="14.4">
      <c r="A11" s="42" t="s">
        <v>155</v>
      </c>
    </row>
    <row r="12" spans="1:1" ht="14.4">
      <c r="A12" s="42" t="s">
        <v>159</v>
      </c>
    </row>
    <row r="13" spans="1:1" ht="14.4">
      <c r="A13" s="42" t="s">
        <v>160</v>
      </c>
    </row>
    <row r="14" spans="1:1" ht="14.4">
      <c r="A14" s="42" t="s">
        <v>166</v>
      </c>
    </row>
    <row r="15" spans="1:1" ht="14.4">
      <c r="A15" s="42" t="s">
        <v>167</v>
      </c>
    </row>
    <row r="16" spans="1:1" ht="14.4">
      <c r="A16" s="42" t="s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10" sqref="A10"/>
    </sheetView>
  </sheetViews>
  <sheetFormatPr baseColWidth="10" defaultColWidth="8.8984375" defaultRowHeight="13.8"/>
  <cols>
    <col min="1" max="1" width="38" bestFit="1" customWidth="1"/>
    <col min="2" max="2" width="23.296875" bestFit="1" customWidth="1"/>
  </cols>
  <sheetData>
    <row r="1" spans="1:2">
      <c r="A1" t="s">
        <v>268</v>
      </c>
      <c r="B1" t="s">
        <v>269</v>
      </c>
    </row>
    <row r="2" spans="1:2">
      <c r="A2" t="s">
        <v>127</v>
      </c>
      <c r="B2">
        <v>518.58000000000004</v>
      </c>
    </row>
    <row r="3" spans="1:2">
      <c r="A3" t="s">
        <v>160</v>
      </c>
      <c r="B3">
        <v>153.91999999999999</v>
      </c>
    </row>
    <row r="4" spans="1:2">
      <c r="A4" t="s">
        <v>106</v>
      </c>
      <c r="B4">
        <v>270.5</v>
      </c>
    </row>
    <row r="5" spans="1:2">
      <c r="A5" t="s">
        <v>116</v>
      </c>
      <c r="B5">
        <v>199.83</v>
      </c>
    </row>
    <row r="6" spans="1:2">
      <c r="A6" t="s">
        <v>164</v>
      </c>
      <c r="B6">
        <v>7.92</v>
      </c>
    </row>
    <row r="7" spans="1:2">
      <c r="A7" t="s">
        <v>120</v>
      </c>
      <c r="B7">
        <v>501.5</v>
      </c>
    </row>
    <row r="8" spans="1:2">
      <c r="A8" t="s">
        <v>168</v>
      </c>
      <c r="B8">
        <v>57.17</v>
      </c>
    </row>
    <row r="9" spans="1:2">
      <c r="A9" t="s">
        <v>155</v>
      </c>
      <c r="B9">
        <v>97.5</v>
      </c>
    </row>
    <row r="10" spans="1:2">
      <c r="A10" t="s">
        <v>159</v>
      </c>
      <c r="B10">
        <v>225.67</v>
      </c>
    </row>
    <row r="11" spans="1:2">
      <c r="A11" t="s">
        <v>167</v>
      </c>
      <c r="B11">
        <v>75.58</v>
      </c>
    </row>
    <row r="12" spans="1:2">
      <c r="A12" t="s">
        <v>132</v>
      </c>
      <c r="B12">
        <v>74.75</v>
      </c>
    </row>
    <row r="13" spans="1:2">
      <c r="A13" t="s">
        <v>166</v>
      </c>
      <c r="B13">
        <v>152</v>
      </c>
    </row>
    <row r="14" spans="1:2">
      <c r="A14" t="s">
        <v>144</v>
      </c>
      <c r="B14">
        <v>431.67</v>
      </c>
    </row>
    <row r="15" spans="1:2">
      <c r="A15" t="s">
        <v>142</v>
      </c>
      <c r="B15">
        <v>935.17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workbookViewId="0">
      <selection activeCell="B4" sqref="B4"/>
    </sheetView>
  </sheetViews>
  <sheetFormatPr baseColWidth="10" defaultColWidth="11.3984375" defaultRowHeight="13.8"/>
  <cols>
    <col min="2" max="2" width="14" bestFit="1" customWidth="1"/>
    <col min="3" max="3" width="30.8984375" bestFit="1" customWidth="1"/>
    <col min="4" max="4" width="13.3984375" bestFit="1" customWidth="1"/>
    <col min="5" max="5" width="14.59765625" bestFit="1" customWidth="1"/>
    <col min="8" max="8" width="13.09765625" bestFit="1" customWidth="1"/>
    <col min="9" max="9" width="11" bestFit="1" customWidth="1"/>
  </cols>
  <sheetData>
    <row r="1" spans="1:18" ht="28.8">
      <c r="A1" s="38" t="s">
        <v>99</v>
      </c>
      <c r="B1" s="38" t="s">
        <v>100</v>
      </c>
      <c r="C1" s="39" t="s">
        <v>101</v>
      </c>
      <c r="D1" s="39" t="s">
        <v>102</v>
      </c>
      <c r="E1" s="82" t="s">
        <v>270</v>
      </c>
      <c r="G1" s="43" t="s">
        <v>37</v>
      </c>
      <c r="H1" s="43" t="s">
        <v>107</v>
      </c>
      <c r="I1" s="43" t="s">
        <v>271</v>
      </c>
      <c r="Q1" s="45" t="s">
        <v>103</v>
      </c>
      <c r="R1" s="45" t="s">
        <v>104</v>
      </c>
    </row>
    <row r="2" spans="1:18" ht="26.4">
      <c r="A2" s="40" t="s">
        <v>105</v>
      </c>
      <c r="B2" s="40" t="s">
        <v>103</v>
      </c>
      <c r="C2" s="41" t="s">
        <v>106</v>
      </c>
      <c r="D2" s="73">
        <v>1000000</v>
      </c>
      <c r="E2" s="73">
        <v>1200000</v>
      </c>
      <c r="G2" s="41" t="s">
        <v>117</v>
      </c>
      <c r="H2" s="75">
        <v>5000000</v>
      </c>
      <c r="I2" s="75">
        <v>5200000</v>
      </c>
      <c r="K2" s="85" t="s">
        <v>108</v>
      </c>
      <c r="L2" s="60" t="s">
        <v>109</v>
      </c>
      <c r="M2" s="62" t="s">
        <v>110</v>
      </c>
      <c r="N2" s="61" t="s">
        <v>111</v>
      </c>
      <c r="O2" s="61" t="s">
        <v>112</v>
      </c>
      <c r="Q2" s="63" t="s">
        <v>113</v>
      </c>
      <c r="R2" s="63" t="s">
        <v>114</v>
      </c>
    </row>
    <row r="3" spans="1:18" ht="14.4">
      <c r="A3" s="40" t="s">
        <v>105</v>
      </c>
      <c r="B3" s="40" t="s">
        <v>104</v>
      </c>
      <c r="C3" s="41" t="s">
        <v>116</v>
      </c>
      <c r="D3" s="73">
        <v>950000</v>
      </c>
      <c r="E3" s="73">
        <v>1050000</v>
      </c>
      <c r="G3" s="44" t="s">
        <v>121</v>
      </c>
      <c r="H3" s="75">
        <v>7000000</v>
      </c>
      <c r="I3" s="75">
        <v>7500000</v>
      </c>
      <c r="K3" s="86"/>
      <c r="L3" s="46" t="s">
        <v>118</v>
      </c>
      <c r="M3" s="47" t="s">
        <v>119</v>
      </c>
      <c r="N3" s="48">
        <v>0</v>
      </c>
      <c r="O3" s="49">
        <v>0.74999999900000003</v>
      </c>
      <c r="Q3" s="50">
        <v>1.0999999999999999E-2</v>
      </c>
      <c r="R3" s="50">
        <v>1.0999999999999999E-2</v>
      </c>
    </row>
    <row r="4" spans="1:18" ht="14.4">
      <c r="A4" s="40" t="s">
        <v>105</v>
      </c>
      <c r="B4" s="40" t="s">
        <v>104</v>
      </c>
      <c r="C4" s="41" t="s">
        <v>120</v>
      </c>
      <c r="D4" s="73">
        <v>900000</v>
      </c>
      <c r="E4" s="73">
        <v>950000</v>
      </c>
      <c r="G4" s="44" t="s">
        <v>124</v>
      </c>
      <c r="H4" s="75">
        <v>2100000</v>
      </c>
      <c r="I4" s="75">
        <v>2150000</v>
      </c>
      <c r="K4" s="86"/>
      <c r="L4" s="51" t="s">
        <v>122</v>
      </c>
      <c r="M4" s="52" t="s">
        <v>123</v>
      </c>
      <c r="N4" s="48">
        <v>0.75</v>
      </c>
      <c r="O4" s="49">
        <v>1.0999999899999999</v>
      </c>
      <c r="Q4" s="53">
        <v>1.4999999999999999E-2</v>
      </c>
      <c r="R4" s="53">
        <v>1.3100000000000001E-2</v>
      </c>
    </row>
    <row r="5" spans="1:18" ht="14.4">
      <c r="A5" s="40" t="s">
        <v>105</v>
      </c>
      <c r="B5" s="40" t="s">
        <v>103</v>
      </c>
      <c r="C5" s="41"/>
      <c r="D5" s="73">
        <v>0</v>
      </c>
      <c r="E5" s="73">
        <v>0</v>
      </c>
      <c r="G5" s="41" t="s">
        <v>128</v>
      </c>
      <c r="H5" s="73">
        <v>2100000</v>
      </c>
      <c r="I5" s="75">
        <v>2150000</v>
      </c>
      <c r="K5" s="86"/>
      <c r="L5" s="54" t="s">
        <v>125</v>
      </c>
      <c r="M5" s="52" t="s">
        <v>126</v>
      </c>
      <c r="N5" s="48">
        <v>1.1000000000000001</v>
      </c>
      <c r="O5" s="49">
        <v>1.1999999990000001</v>
      </c>
      <c r="Q5" s="55">
        <v>1.6500000000000001E-2</v>
      </c>
      <c r="R5" s="55">
        <v>1.46E-2</v>
      </c>
    </row>
    <row r="6" spans="1:18" ht="14.4">
      <c r="A6" s="40" t="s">
        <v>105</v>
      </c>
      <c r="B6" s="40" t="s">
        <v>104</v>
      </c>
      <c r="C6" s="41" t="s">
        <v>127</v>
      </c>
      <c r="D6" s="73">
        <v>900000</v>
      </c>
      <c r="E6" s="73">
        <v>950000</v>
      </c>
      <c r="G6" s="42" t="s">
        <v>133</v>
      </c>
      <c r="H6" s="84">
        <f>SUM(H2:H5)</f>
        <v>16200000</v>
      </c>
      <c r="I6" s="83">
        <f>SUM(I2:I5)</f>
        <v>17000000</v>
      </c>
      <c r="K6" s="86"/>
      <c r="L6" s="56" t="s">
        <v>129</v>
      </c>
      <c r="M6" s="52" t="s">
        <v>130</v>
      </c>
      <c r="N6" s="48">
        <v>1.2</v>
      </c>
      <c r="O6" s="9" t="s">
        <v>131</v>
      </c>
      <c r="Q6" s="57">
        <v>1.7500000000000002E-2</v>
      </c>
      <c r="R6" s="57">
        <v>1.5599999999999999E-2</v>
      </c>
    </row>
    <row r="7" spans="1:18" ht="14.4">
      <c r="A7" s="40" t="s">
        <v>105</v>
      </c>
      <c r="B7" s="40" t="s">
        <v>103</v>
      </c>
      <c r="C7" s="41" t="s">
        <v>132</v>
      </c>
      <c r="D7" s="73">
        <v>1000000</v>
      </c>
      <c r="E7" s="73">
        <v>1100000</v>
      </c>
    </row>
    <row r="8" spans="1:18" ht="26.4">
      <c r="A8" s="40" t="s">
        <v>134</v>
      </c>
      <c r="B8" s="40" t="s">
        <v>104</v>
      </c>
      <c r="C8" s="41" t="s">
        <v>135</v>
      </c>
      <c r="D8" s="73">
        <v>1200000</v>
      </c>
      <c r="E8" s="73">
        <v>1150000</v>
      </c>
      <c r="K8" s="85" t="s">
        <v>136</v>
      </c>
      <c r="L8" s="60" t="s">
        <v>109</v>
      </c>
      <c r="M8" s="61" t="s">
        <v>137</v>
      </c>
      <c r="N8" s="64" t="s">
        <v>138</v>
      </c>
      <c r="O8" s="64" t="s">
        <v>139</v>
      </c>
      <c r="Q8" s="62" t="s">
        <v>140</v>
      </c>
      <c r="R8" s="62" t="s">
        <v>141</v>
      </c>
    </row>
    <row r="9" spans="1:18" ht="14.4">
      <c r="A9" s="40" t="s">
        <v>134</v>
      </c>
      <c r="B9" s="40" t="s">
        <v>103</v>
      </c>
      <c r="C9" s="41" t="s">
        <v>142</v>
      </c>
      <c r="D9" s="73">
        <v>2000000</v>
      </c>
      <c r="E9" s="73">
        <v>2000000</v>
      </c>
      <c r="K9" s="86"/>
      <c r="L9" s="46" t="s">
        <v>118</v>
      </c>
      <c r="M9" s="47">
        <v>0</v>
      </c>
      <c r="N9" s="48">
        <v>0</v>
      </c>
      <c r="O9" s="49">
        <v>1.0999999899999999</v>
      </c>
      <c r="Q9" s="50">
        <v>0</v>
      </c>
      <c r="R9" s="50">
        <v>0</v>
      </c>
    </row>
    <row r="10" spans="1:18" ht="14.4">
      <c r="A10" s="40" t="s">
        <v>134</v>
      </c>
      <c r="B10" s="40" t="s">
        <v>103</v>
      </c>
      <c r="C10" s="41" t="s">
        <v>143</v>
      </c>
      <c r="D10" s="73">
        <v>1000000</v>
      </c>
      <c r="E10" s="73">
        <v>950000</v>
      </c>
      <c r="K10" s="86"/>
      <c r="L10" s="51" t="s">
        <v>122</v>
      </c>
      <c r="M10" s="9" t="s">
        <v>126</v>
      </c>
      <c r="N10" s="48">
        <v>1.1000000000000001</v>
      </c>
      <c r="O10" s="49">
        <v>1.19999999</v>
      </c>
      <c r="Q10" s="53">
        <v>1.5E-3</v>
      </c>
      <c r="R10" s="53">
        <v>3.3999999999999998E-3</v>
      </c>
    </row>
    <row r="11" spans="1:18" ht="14.4">
      <c r="A11" s="40" t="s">
        <v>134</v>
      </c>
      <c r="B11" s="40" t="s">
        <v>103</v>
      </c>
      <c r="C11" s="41" t="s">
        <v>144</v>
      </c>
      <c r="D11" s="73">
        <v>1000000</v>
      </c>
      <c r="E11" s="73">
        <v>1150000</v>
      </c>
      <c r="K11" s="86"/>
      <c r="L11" s="54" t="s">
        <v>125</v>
      </c>
      <c r="M11" s="9" t="s">
        <v>145</v>
      </c>
      <c r="N11" s="48">
        <v>1.2</v>
      </c>
      <c r="O11" s="49">
        <v>1.3333333000000001</v>
      </c>
      <c r="Q11" s="55">
        <v>3.0000000000000001E-3</v>
      </c>
      <c r="R11" s="55">
        <v>4.8999999999999998E-3</v>
      </c>
    </row>
    <row r="12" spans="1:18" ht="14.4">
      <c r="A12" s="40" t="s">
        <v>134</v>
      </c>
      <c r="B12" s="40" t="s">
        <v>150</v>
      </c>
      <c r="C12" s="41" t="s">
        <v>151</v>
      </c>
      <c r="D12" s="73">
        <v>0</v>
      </c>
      <c r="E12" s="73">
        <v>0</v>
      </c>
      <c r="K12" s="86"/>
      <c r="L12" s="56" t="s">
        <v>129</v>
      </c>
      <c r="M12" s="9" t="s">
        <v>149</v>
      </c>
      <c r="N12" s="48">
        <v>1.3333333999999999</v>
      </c>
      <c r="O12" s="49">
        <v>1.5</v>
      </c>
      <c r="Q12" s="57">
        <v>5.0000000000000001E-3</v>
      </c>
      <c r="R12" s="57">
        <v>6.8999999999999999E-3</v>
      </c>
    </row>
    <row r="13" spans="1:18" ht="14.4">
      <c r="A13" s="40" t="s">
        <v>134</v>
      </c>
      <c r="B13" s="40" t="s">
        <v>104</v>
      </c>
      <c r="C13" s="41" t="s">
        <v>272</v>
      </c>
      <c r="D13" s="73">
        <v>1000000</v>
      </c>
      <c r="E13" s="73">
        <v>1000000</v>
      </c>
      <c r="L13" s="58" t="s">
        <v>152</v>
      </c>
      <c r="M13" s="9" t="s">
        <v>153</v>
      </c>
      <c r="N13" s="48">
        <v>1.5</v>
      </c>
      <c r="O13" s="49">
        <v>1.6</v>
      </c>
    </row>
    <row r="14" spans="1:18" ht="14.4">
      <c r="A14" s="40" t="s">
        <v>134</v>
      </c>
      <c r="B14" s="40" t="s">
        <v>154</v>
      </c>
      <c r="C14" s="41" t="s">
        <v>155</v>
      </c>
      <c r="D14" s="73">
        <v>2200000</v>
      </c>
      <c r="E14" s="73">
        <v>2200000</v>
      </c>
      <c r="L14" s="59" t="s">
        <v>156</v>
      </c>
      <c r="M14" s="9" t="s">
        <v>157</v>
      </c>
      <c r="N14" s="48">
        <v>1.6</v>
      </c>
      <c r="O14" s="49">
        <v>1.7</v>
      </c>
    </row>
    <row r="15" spans="1:18" ht="15" thickBot="1">
      <c r="A15" s="40" t="s">
        <v>158</v>
      </c>
      <c r="B15" s="40" t="s">
        <v>103</v>
      </c>
      <c r="C15" s="41" t="s">
        <v>159</v>
      </c>
      <c r="D15" s="73">
        <v>1050000</v>
      </c>
      <c r="E15" s="73">
        <v>1050000</v>
      </c>
      <c r="Q15" s="45" t="s">
        <v>103</v>
      </c>
      <c r="R15" s="45" t="s">
        <v>104</v>
      </c>
    </row>
    <row r="16" spans="1:18" ht="36.6" thickBot="1">
      <c r="A16" s="40" t="s">
        <v>158</v>
      </c>
      <c r="B16" s="40" t="s">
        <v>103</v>
      </c>
      <c r="C16" s="41" t="s">
        <v>160</v>
      </c>
      <c r="D16" s="73">
        <v>1050000</v>
      </c>
      <c r="E16" s="73">
        <v>1050000</v>
      </c>
      <c r="O16" s="87" t="s">
        <v>161</v>
      </c>
      <c r="Q16" s="62" t="s">
        <v>162</v>
      </c>
      <c r="R16" s="62" t="s">
        <v>163</v>
      </c>
    </row>
    <row r="17" spans="1:18" ht="14.4">
      <c r="A17" s="40" t="s">
        <v>158</v>
      </c>
      <c r="B17" s="40" t="s">
        <v>154</v>
      </c>
      <c r="C17" s="41" t="s">
        <v>164</v>
      </c>
      <c r="D17" s="73"/>
      <c r="E17" s="73">
        <v>50000</v>
      </c>
      <c r="O17" s="88"/>
      <c r="Q17" s="50">
        <v>1.0999999999999999E-2</v>
      </c>
      <c r="R17" s="50">
        <v>1.0999999999999999E-2</v>
      </c>
    </row>
    <row r="18" spans="1:18" ht="14.4">
      <c r="A18" s="40" t="s">
        <v>165</v>
      </c>
      <c r="B18" s="40" t="s">
        <v>103</v>
      </c>
      <c r="C18" s="41" t="s">
        <v>166</v>
      </c>
      <c r="D18" s="73">
        <v>600000</v>
      </c>
      <c r="E18" s="73">
        <v>750000</v>
      </c>
      <c r="O18" s="88"/>
      <c r="Q18" s="53">
        <v>1.6500000000000001E-2</v>
      </c>
      <c r="R18" s="53">
        <v>1.6500000000000001E-2</v>
      </c>
    </row>
    <row r="19" spans="1:18" ht="14.4">
      <c r="A19" s="40" t="s">
        <v>165</v>
      </c>
      <c r="B19" s="40" t="s">
        <v>103</v>
      </c>
      <c r="C19" s="41" t="s">
        <v>167</v>
      </c>
      <c r="D19" s="73">
        <v>600000</v>
      </c>
      <c r="E19" s="73">
        <v>750000</v>
      </c>
      <c r="O19" s="88"/>
      <c r="Q19" s="55">
        <v>1.95E-2</v>
      </c>
      <c r="R19" s="55">
        <v>1.95E-2</v>
      </c>
    </row>
    <row r="20" spans="1:18" ht="15" thickBot="1">
      <c r="A20" s="40" t="s">
        <v>165</v>
      </c>
      <c r="B20" s="40" t="s">
        <v>104</v>
      </c>
      <c r="C20" s="41" t="s">
        <v>168</v>
      </c>
      <c r="D20" s="73">
        <v>600000</v>
      </c>
      <c r="E20" s="73">
        <v>750000</v>
      </c>
      <c r="O20" s="89"/>
      <c r="Q20" s="57">
        <v>2.2499999999999999E-2</v>
      </c>
      <c r="R20" s="57">
        <v>2.2499999999999999E-2</v>
      </c>
    </row>
    <row r="21" spans="1:18" ht="14.4">
      <c r="A21" s="40" t="s">
        <v>165</v>
      </c>
      <c r="B21" s="40" t="s">
        <v>169</v>
      </c>
      <c r="C21" s="41" t="s">
        <v>170</v>
      </c>
      <c r="D21" s="73">
        <v>0</v>
      </c>
      <c r="E21" s="73">
        <v>0</v>
      </c>
    </row>
    <row r="22" spans="1:18" ht="14.4">
      <c r="A22" s="40" t="s">
        <v>165</v>
      </c>
      <c r="B22" s="40" t="s">
        <v>154</v>
      </c>
      <c r="C22" s="41" t="s">
        <v>273</v>
      </c>
      <c r="D22" s="73">
        <v>0</v>
      </c>
      <c r="E22" s="73">
        <v>0</v>
      </c>
    </row>
  </sheetData>
  <mergeCells count="3">
    <mergeCell ref="K2:K6"/>
    <mergeCell ref="K8:K12"/>
    <mergeCell ref="O16:O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Estructura de ventas</vt:lpstr>
      <vt:lpstr>OBJETIVOS VENTA</vt:lpstr>
      <vt:lpstr>CARTERA</vt:lpstr>
      <vt:lpstr>Hoja1</vt:lpstr>
      <vt:lpstr>ACEITE_BASE</vt:lpstr>
      <vt:lpstr>NVOS OBJ VENTA AGO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Flores Mendoza</dc:creator>
  <cp:keywords/>
  <dc:description/>
  <cp:lastModifiedBy>Carlos Jared Lozano Aguirre</cp:lastModifiedBy>
  <cp:revision/>
  <dcterms:created xsi:type="dcterms:W3CDTF">2026-04-15T18:03:45Z</dcterms:created>
  <dcterms:modified xsi:type="dcterms:W3CDTF">2026-10-13T18:57:44Z</dcterms:modified>
  <cp:category/>
  <cp:contentStatus/>
</cp:coreProperties>
</file>